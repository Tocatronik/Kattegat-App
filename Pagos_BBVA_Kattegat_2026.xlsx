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gos BBVA 2026"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<sst xmlns="http://schemas.openxmlformats.org/spreadsheetml/2006/main" count="103" uniqueCount="64">
  <si>
    <t xml:space="preserve">Kattegat Industries - Registro de Pagos BBVA</t>
  </si>
  <si>
    <t xml:space="preserve">Generado: 10/02/2026 21:47 | Fuente: Gmail - Notificaciones BBVA Net Cash</t>
  </si>
  <si>
    <t xml:space="preserve">#</t>
  </si>
  <si>
    <t xml:space="preserve">Fecha</t>
  </si>
  <si>
    <t xml:space="preserve">Tipo de Pago</t>
  </si>
  <si>
    <t xml:space="preserve">Importe (MXP)</t>
  </si>
  <si>
    <t xml:space="preserve">Cuenta Origen</t>
  </si>
  <si>
    <t xml:space="preserve">Cuenta Destino</t>
  </si>
  <si>
    <t xml:space="preserve">Banco Destino</t>
  </si>
  <si>
    <t xml:space="preserve">Referencia / Folio</t>
  </si>
  <si>
    <t xml:space="preserve">16/01/2026</t>
  </si>
  <si>
    <t xml:space="preserve">Pago mismo banco</t>
  </si>
  <si>
    <t xml:space="preserve">•6442</t>
  </si>
  <si>
    <t xml:space="preserve">•5836</t>
  </si>
  <si>
    <t xml:space="preserve">BBVA</t>
  </si>
  <si>
    <t xml:space="preserve">I32320260116140450...</t>
  </si>
  <si>
    <t xml:space="preserve">20/01/2026</t>
  </si>
  <si>
    <t xml:space="preserve">I32320260120114336...</t>
  </si>
  <si>
    <t xml:space="preserve">23/01/2026</t>
  </si>
  <si>
    <t xml:space="preserve">I32320260123111252...</t>
  </si>
  <si>
    <t xml:space="preserve">26/01/2026</t>
  </si>
  <si>
    <t xml:space="preserve">Pago interbancario SPEI</t>
  </si>
  <si>
    <t xml:space="preserve">CLABE •3020</t>
  </si>
  <si>
    <t xml:space="preserve">BANAMEX</t>
  </si>
  <si>
    <t xml:space="preserve">Folio: 0000363378</t>
  </si>
  <si>
    <t xml:space="preserve">03/02/2026</t>
  </si>
  <si>
    <t xml:space="preserve">•3390</t>
  </si>
  <si>
    <t xml:space="preserve">I32320260203133834...</t>
  </si>
  <si>
    <t xml:space="preserve">04/02/2026</t>
  </si>
  <si>
    <t xml:space="preserve">I32320260204174200...</t>
  </si>
  <si>
    <t xml:space="preserve">05/02/2026</t>
  </si>
  <si>
    <t xml:space="preserve">CLABE •5790</t>
  </si>
  <si>
    <t xml:space="preserve">HSBC</t>
  </si>
  <si>
    <t xml:space="preserve">Folio: 0000363581</t>
  </si>
  <si>
    <t xml:space="preserve">06/02/2026</t>
  </si>
  <si>
    <t xml:space="preserve">I32320260206122332...</t>
  </si>
  <si>
    <t xml:space="preserve">09/02/2026</t>
  </si>
  <si>
    <t xml:space="preserve">I32320260209114945...</t>
  </si>
  <si>
    <t xml:space="preserve">TOTAL PAGOS 2026</t>
  </si>
  <si>
    <t xml:space="preserve">Pagos SAT Referenciados (Histórico)</t>
  </si>
  <si>
    <t xml:space="preserve">Tipo</t>
  </si>
  <si>
    <t xml:space="preserve">Notas</t>
  </si>
  <si>
    <t xml:space="preserve">13/11/2025</t>
  </si>
  <si>
    <t xml:space="preserve">Pago SAT referenciado</t>
  </si>
  <si>
    <t xml:space="preserve">Impuestos Nov 2025</t>
  </si>
  <si>
    <t xml:space="preserve">07/11/2025</t>
  </si>
  <si>
    <t xml:space="preserve">22/04/2025</t>
  </si>
  <si>
    <t xml:space="preserve">Impuestos Abr 2025</t>
  </si>
  <si>
    <t xml:space="preserve">23/06/2025</t>
  </si>
  <si>
    <t xml:space="preserve">Impuestos Jun 2025</t>
  </si>
  <si>
    <t xml:space="preserve">20/02/2025</t>
  </si>
  <si>
    <t xml:space="preserve">Impuestos Feb 2025</t>
  </si>
  <si>
    <t xml:space="preserve">22/01/2025</t>
  </si>
  <si>
    <t xml:space="preserve">Impuestos Ene 2025</t>
  </si>
  <si>
    <t xml:space="preserve">21/10/2024</t>
  </si>
  <si>
    <t xml:space="preserve">Impuestos Oct 2024</t>
  </si>
  <si>
    <t xml:space="preserve">20/09/2024</t>
  </si>
  <si>
    <t xml:space="preserve">Impuestos Sep 2024</t>
  </si>
  <si>
    <t xml:space="preserve">23/08/2024</t>
  </si>
  <si>
    <t xml:space="preserve">Impuestos Ago 2024</t>
  </si>
  <si>
    <t xml:space="preserve">20/12/2024</t>
  </si>
  <si>
    <t xml:space="preserve">Impuestos Dic 2024</t>
  </si>
  <si>
    <t xml:space="preserve">TOTAL PAGOS SAT</t>
  </si>
  <si>
    <t xml:space="preserve">NOTAS: Los pagos "mismo banco" son transferencias entre cuentas BBVA. Los pagos SPEI son transferencias interbancarias. El campo "Beneficiario" no se muestra en las notificaciones de BBVA Net Cash. Se recomienda cruzar con el estado de cuenta para identificar beneficiarios.</t>
  </si>
</sst>
</file>

<file path=xl/styles.xml><?xml version="1.0" encoding="utf-8"?>
<styleSheet xmlns="http://schemas.openxmlformats.org/spreadsheetml/2006/main">
  <numFmts count="3">
    <numFmt numFmtId="164" formatCode="General"/>
    <numFmt numFmtId="165" formatCode="@"/>
    <numFmt numFmtId="166"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1A3C6E"/>
      <name val="Arial"/>
      <family val="0"/>
      <charset val="1"/>
    </font>
    <font>
      <b val="true"/>
      <sz val="10"/>
      <color rgb="FF666666"/>
      <name val="Arial"/>
      <family val="0"/>
      <charset val="1"/>
    </font>
    <font>
      <b val="true"/>
      <sz val="11"/>
      <color rgb="FFFFFFFF"/>
      <name val="Arial"/>
      <family val="0"/>
      <charset val="1"/>
    </font>
    <font>
      <sz val="10"/>
      <name val="Arial"/>
      <family val="0"/>
      <charset val="1"/>
    </font>
    <font>
      <b val="true"/>
      <sz val="10"/>
      <color rgb="FF006600"/>
      <name val="Arial"/>
      <family val="0"/>
      <charset val="1"/>
    </font>
    <font>
      <b val="true"/>
      <sz val="12"/>
      <color rgb="FF1A3C6E"/>
      <name val="Arial"/>
      <family val="0"/>
      <charset val="1"/>
    </font>
    <font>
      <b val="true"/>
      <sz val="10"/>
      <color rgb="FF8B0000"/>
      <name val="Arial"/>
      <family val="0"/>
      <charset val="1"/>
    </font>
    <font>
      <i val="true"/>
      <sz val="9"/>
      <color rgb="FF666666"/>
      <name val="Arial"/>
      <family val="0"/>
      <charset val="1"/>
    </font>
  </fonts>
  <fills count="7">
    <fill>
      <patternFill patternType="none"/>
    </fill>
    <fill>
      <patternFill patternType="gray125"/>
    </fill>
    <fill>
      <patternFill patternType="solid">
        <fgColor rgb="FF1A3C6E"/>
        <bgColor rgb="FF333399"/>
      </patternFill>
    </fill>
    <fill>
      <patternFill patternType="solid">
        <fgColor rgb="FFF2F7FB"/>
        <bgColor rgb="FFFFFFFF"/>
      </patternFill>
    </fill>
    <fill>
      <patternFill patternType="solid">
        <fgColor rgb="FF2E75B6"/>
        <bgColor rgb="FF0066CC"/>
      </patternFill>
    </fill>
    <fill>
      <patternFill patternType="solid">
        <fgColor rgb="FF8B0000"/>
        <bgColor rgb="FF800000"/>
      </patternFill>
    </fill>
    <fill>
      <patternFill patternType="solid">
        <fgColor rgb="FFFFF0F0"/>
        <bgColor rgb="FFF2F7FB"/>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false" indent="0" shrinkToFit="false"/>
      <protection locked="true" hidden="false"/>
    </xf>
    <xf numFmtId="166" fontId="8" fillId="3"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right" vertical="center" textRotation="0" wrapText="false" indent="0" shrinkToFit="false"/>
      <protection locked="true" hidden="false"/>
    </xf>
    <xf numFmtId="166" fontId="6" fillId="4" borderId="1" xfId="0" applyFont="true" applyBorder="true" applyAlignment="true" applyProtection="false">
      <alignment horizontal="right"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6" fontId="10" fillId="6"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bottom" textRotation="0" wrapText="false" indent="0" shrinkToFit="false"/>
      <protection locked="true" hidden="false"/>
    </xf>
    <xf numFmtId="164" fontId="6" fillId="5" borderId="1" xfId="0" applyFont="true" applyBorder="true" applyAlignment="true" applyProtection="false">
      <alignment horizontal="right" vertical="bottom" textRotation="0" wrapText="false" indent="0" shrinkToFit="false"/>
      <protection locked="true" hidden="false"/>
    </xf>
    <xf numFmtId="166" fontId="6" fillId="5" borderId="1" xfId="0" applyFont="true" applyBorder="true" applyAlignment="true" applyProtection="false">
      <alignment horizontal="right"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6600"/>
      <rgbColor rgb="FF000080"/>
      <rgbColor rgb="FF808000"/>
      <rgbColor rgb="FF800080"/>
      <rgbColor rgb="FF008080"/>
      <rgbColor rgb="FFCCCCCC"/>
      <rgbColor rgb="FF808080"/>
      <rgbColor rgb="FF9999FF"/>
      <rgbColor rgb="FF993366"/>
      <rgbColor rgb="FFFFF0F0"/>
      <rgbColor rgb="FFF2F7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1A3C6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26"/>
    <col collapsed="false" customWidth="true" hidden="false" outlineLevel="0" max="4" min="4" style="0" width="18"/>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28"/>
  </cols>
  <sheetData>
    <row r="1" customFormat="false" ht="30" hidden="false" customHeight="true" outlineLevel="0" collapsed="false">
      <c r="A1" s="1" t="s">
        <v>0</v>
      </c>
      <c r="B1" s="1"/>
      <c r="C1" s="1"/>
      <c r="D1" s="1"/>
      <c r="E1" s="1"/>
      <c r="F1" s="1"/>
      <c r="G1" s="1"/>
      <c r="H1" s="1"/>
    </row>
    <row r="2" customFormat="false" ht="19.5" hidden="false" customHeight="true" outlineLevel="0" collapsed="false">
      <c r="A2" s="2" t="s">
        <v>1</v>
      </c>
      <c r="B2" s="2"/>
      <c r="C2" s="2"/>
      <c r="D2" s="2"/>
      <c r="E2" s="2"/>
      <c r="F2" s="2"/>
      <c r="G2" s="2"/>
      <c r="H2" s="2"/>
    </row>
    <row r="4" customFormat="false" ht="24.75" hidden="false" customHeight="true" outlineLevel="0" collapsed="false">
      <c r="A4" s="3" t="s">
        <v>2</v>
      </c>
      <c r="B4" s="3" t="s">
        <v>3</v>
      </c>
      <c r="C4" s="3" t="s">
        <v>4</v>
      </c>
      <c r="D4" s="3" t="s">
        <v>5</v>
      </c>
      <c r="E4" s="3" t="s">
        <v>6</v>
      </c>
      <c r="F4" s="3" t="s">
        <v>7</v>
      </c>
      <c r="G4" s="3" t="s">
        <v>8</v>
      </c>
      <c r="H4" s="3" t="s">
        <v>9</v>
      </c>
    </row>
    <row r="5" customFormat="false" ht="21.75" hidden="false" customHeight="true" outlineLevel="0" collapsed="false">
      <c r="A5" s="4" t="n">
        <v>1</v>
      </c>
      <c r="B5" s="5" t="s">
        <v>10</v>
      </c>
      <c r="C5" s="6" t="s">
        <v>11</v>
      </c>
      <c r="D5" s="7" t="n">
        <v>12000</v>
      </c>
      <c r="E5" s="4" t="s">
        <v>12</v>
      </c>
      <c r="F5" s="4" t="s">
        <v>13</v>
      </c>
      <c r="G5" s="4" t="s">
        <v>14</v>
      </c>
      <c r="H5" s="4" t="s">
        <v>15</v>
      </c>
    </row>
    <row r="6" customFormat="false" ht="21.75" hidden="false" customHeight="true" outlineLevel="0" collapsed="false">
      <c r="A6" s="8" t="n">
        <v>2</v>
      </c>
      <c r="B6" s="9" t="s">
        <v>16</v>
      </c>
      <c r="C6" s="10" t="s">
        <v>11</v>
      </c>
      <c r="D6" s="11" t="n">
        <v>25000</v>
      </c>
      <c r="E6" s="8" t="s">
        <v>12</v>
      </c>
      <c r="F6" s="8" t="s">
        <v>13</v>
      </c>
      <c r="G6" s="8" t="s">
        <v>14</v>
      </c>
      <c r="H6" s="8" t="s">
        <v>17</v>
      </c>
    </row>
    <row r="7" customFormat="false" ht="21.75" hidden="false" customHeight="true" outlineLevel="0" collapsed="false">
      <c r="A7" s="4" t="n">
        <v>3</v>
      </c>
      <c r="B7" s="5" t="s">
        <v>18</v>
      </c>
      <c r="C7" s="6" t="s">
        <v>11</v>
      </c>
      <c r="D7" s="7" t="n">
        <v>27000</v>
      </c>
      <c r="E7" s="4" t="s">
        <v>12</v>
      </c>
      <c r="F7" s="4" t="s">
        <v>13</v>
      </c>
      <c r="G7" s="4" t="s">
        <v>14</v>
      </c>
      <c r="H7" s="4" t="s">
        <v>19</v>
      </c>
    </row>
    <row r="8" customFormat="false" ht="21.75" hidden="false" customHeight="true" outlineLevel="0" collapsed="false">
      <c r="A8" s="8" t="n">
        <v>4</v>
      </c>
      <c r="B8" s="9" t="s">
        <v>20</v>
      </c>
      <c r="C8" s="10" t="s">
        <v>21</v>
      </c>
      <c r="D8" s="11" t="n">
        <v>11020</v>
      </c>
      <c r="E8" s="8" t="s">
        <v>12</v>
      </c>
      <c r="F8" s="8" t="s">
        <v>22</v>
      </c>
      <c r="G8" s="8" t="s">
        <v>23</v>
      </c>
      <c r="H8" s="8" t="s">
        <v>24</v>
      </c>
    </row>
    <row r="9" customFormat="false" ht="21.75" hidden="false" customHeight="true" outlineLevel="0" collapsed="false">
      <c r="A9" s="4" t="n">
        <v>5</v>
      </c>
      <c r="B9" s="5" t="s">
        <v>25</v>
      </c>
      <c r="C9" s="6" t="s">
        <v>11</v>
      </c>
      <c r="D9" s="7" t="n">
        <v>9980</v>
      </c>
      <c r="E9" s="4" t="s">
        <v>12</v>
      </c>
      <c r="F9" s="4" t="s">
        <v>26</v>
      </c>
      <c r="G9" s="4" t="s">
        <v>14</v>
      </c>
      <c r="H9" s="4" t="s">
        <v>27</v>
      </c>
    </row>
    <row r="10" customFormat="false" ht="21.75" hidden="false" customHeight="true" outlineLevel="0" collapsed="false">
      <c r="A10" s="8" t="n">
        <v>6</v>
      </c>
      <c r="B10" s="9" t="s">
        <v>28</v>
      </c>
      <c r="C10" s="10" t="s">
        <v>11</v>
      </c>
      <c r="D10" s="11" t="n">
        <v>8500</v>
      </c>
      <c r="E10" s="8" t="s">
        <v>12</v>
      </c>
      <c r="F10" s="8" t="s">
        <v>13</v>
      </c>
      <c r="G10" s="8" t="s">
        <v>14</v>
      </c>
      <c r="H10" s="8" t="s">
        <v>29</v>
      </c>
    </row>
    <row r="11" customFormat="false" ht="21.75" hidden="false" customHeight="true" outlineLevel="0" collapsed="false">
      <c r="A11" s="4" t="n">
        <v>7</v>
      </c>
      <c r="B11" s="5" t="s">
        <v>30</v>
      </c>
      <c r="C11" s="6" t="s">
        <v>21</v>
      </c>
      <c r="D11" s="7" t="n">
        <v>2915</v>
      </c>
      <c r="E11" s="4" t="s">
        <v>12</v>
      </c>
      <c r="F11" s="4" t="s">
        <v>31</v>
      </c>
      <c r="G11" s="4" t="s">
        <v>32</v>
      </c>
      <c r="H11" s="4" t="s">
        <v>33</v>
      </c>
    </row>
    <row r="12" customFormat="false" ht="21.75" hidden="false" customHeight="true" outlineLevel="0" collapsed="false">
      <c r="A12" s="8" t="n">
        <v>8</v>
      </c>
      <c r="B12" s="9" t="s">
        <v>34</v>
      </c>
      <c r="C12" s="10" t="s">
        <v>11</v>
      </c>
      <c r="D12" s="11" t="n">
        <v>11400</v>
      </c>
      <c r="E12" s="8" t="s">
        <v>12</v>
      </c>
      <c r="F12" s="8" t="s">
        <v>13</v>
      </c>
      <c r="G12" s="8" t="s">
        <v>14</v>
      </c>
      <c r="H12" s="8" t="s">
        <v>35</v>
      </c>
    </row>
    <row r="13" customFormat="false" ht="21.75" hidden="false" customHeight="true" outlineLevel="0" collapsed="false">
      <c r="A13" s="4" t="n">
        <v>9</v>
      </c>
      <c r="B13" s="5" t="s">
        <v>36</v>
      </c>
      <c r="C13" s="6" t="s">
        <v>11</v>
      </c>
      <c r="D13" s="7" t="n">
        <v>20000</v>
      </c>
      <c r="E13" s="4" t="s">
        <v>12</v>
      </c>
      <c r="F13" s="4" t="s">
        <v>13</v>
      </c>
      <c r="G13" s="4" t="s">
        <v>14</v>
      </c>
      <c r="H13" s="4" t="s">
        <v>37</v>
      </c>
    </row>
    <row r="14" customFormat="false" ht="27.75" hidden="false" customHeight="true" outlineLevel="0" collapsed="false">
      <c r="A14" s="12" t="s">
        <v>38</v>
      </c>
      <c r="B14" s="12"/>
      <c r="C14" s="12"/>
      <c r="D14" s="13" t="n">
        <f aca="false">SUM(D5:D13)</f>
        <v>127815</v>
      </c>
      <c r="E14" s="14"/>
      <c r="F14" s="14"/>
      <c r="G14" s="14"/>
      <c r="H14" s="14"/>
    </row>
    <row r="17" customFormat="false" ht="24.75" hidden="false" customHeight="true" outlineLevel="0" collapsed="false">
      <c r="A17" s="15" t="s">
        <v>39</v>
      </c>
      <c r="B17" s="15"/>
      <c r="C17" s="15"/>
      <c r="D17" s="15"/>
      <c r="E17" s="15"/>
      <c r="F17" s="15"/>
      <c r="G17" s="15"/>
      <c r="H17" s="15"/>
    </row>
    <row r="18" customFormat="false" ht="24.75" hidden="false" customHeight="true" outlineLevel="0" collapsed="false">
      <c r="A18" s="16" t="s">
        <v>2</v>
      </c>
      <c r="B18" s="16" t="s">
        <v>3</v>
      </c>
      <c r="C18" s="16" t="s">
        <v>40</v>
      </c>
      <c r="D18" s="16" t="s">
        <v>5</v>
      </c>
      <c r="E18" s="16"/>
      <c r="F18" s="16"/>
      <c r="G18" s="16"/>
      <c r="H18" s="16" t="s">
        <v>41</v>
      </c>
    </row>
    <row r="19" customFormat="false" ht="19.5" hidden="false" customHeight="true" outlineLevel="0" collapsed="false">
      <c r="A19" s="17" t="n">
        <v>1</v>
      </c>
      <c r="B19" s="17" t="s">
        <v>42</v>
      </c>
      <c r="C19" s="18" t="s">
        <v>43</v>
      </c>
      <c r="D19" s="19" t="n">
        <v>10287</v>
      </c>
      <c r="E19" s="18"/>
      <c r="F19" s="18"/>
      <c r="G19" s="18"/>
      <c r="H19" s="18" t="s">
        <v>44</v>
      </c>
    </row>
    <row r="20" customFormat="false" ht="19.5" hidden="false" customHeight="true" outlineLevel="0" collapsed="false">
      <c r="A20" s="8" t="n">
        <v>2</v>
      </c>
      <c r="B20" s="8" t="s">
        <v>45</v>
      </c>
      <c r="C20" s="20" t="s">
        <v>43</v>
      </c>
      <c r="D20" s="21" t="n">
        <v>46048</v>
      </c>
      <c r="E20" s="20"/>
      <c r="F20" s="20"/>
      <c r="G20" s="20"/>
      <c r="H20" s="20" t="s">
        <v>44</v>
      </c>
    </row>
    <row r="21" customFormat="false" ht="19.5" hidden="false" customHeight="true" outlineLevel="0" collapsed="false">
      <c r="A21" s="17" t="n">
        <v>3</v>
      </c>
      <c r="B21" s="17" t="s">
        <v>46</v>
      </c>
      <c r="C21" s="18" t="s">
        <v>43</v>
      </c>
      <c r="D21" s="19" t="n">
        <v>17260</v>
      </c>
      <c r="E21" s="18"/>
      <c r="F21" s="18"/>
      <c r="G21" s="18"/>
      <c r="H21" s="18" t="s">
        <v>47</v>
      </c>
    </row>
    <row r="22" customFormat="false" ht="19.5" hidden="false" customHeight="true" outlineLevel="0" collapsed="false">
      <c r="A22" s="8" t="n">
        <v>4</v>
      </c>
      <c r="B22" s="8" t="s">
        <v>48</v>
      </c>
      <c r="C22" s="20" t="s">
        <v>43</v>
      </c>
      <c r="D22" s="21" t="n">
        <v>95</v>
      </c>
      <c r="E22" s="20"/>
      <c r="F22" s="20"/>
      <c r="G22" s="20"/>
      <c r="H22" s="20" t="s">
        <v>49</v>
      </c>
    </row>
    <row r="23" customFormat="false" ht="19.5" hidden="false" customHeight="true" outlineLevel="0" collapsed="false">
      <c r="A23" s="17" t="n">
        <v>5</v>
      </c>
      <c r="B23" s="17" t="s">
        <v>50</v>
      </c>
      <c r="C23" s="18" t="s">
        <v>43</v>
      </c>
      <c r="D23" s="19" t="n">
        <v>231</v>
      </c>
      <c r="E23" s="18"/>
      <c r="F23" s="18"/>
      <c r="G23" s="18"/>
      <c r="H23" s="18" t="s">
        <v>51</v>
      </c>
    </row>
    <row r="24" customFormat="false" ht="19.5" hidden="false" customHeight="true" outlineLevel="0" collapsed="false">
      <c r="A24" s="8" t="n">
        <v>6</v>
      </c>
      <c r="B24" s="8" t="s">
        <v>52</v>
      </c>
      <c r="C24" s="20" t="s">
        <v>43</v>
      </c>
      <c r="D24" s="21" t="n">
        <v>4286</v>
      </c>
      <c r="E24" s="20"/>
      <c r="F24" s="20"/>
      <c r="G24" s="20"/>
      <c r="H24" s="20" t="s">
        <v>53</v>
      </c>
    </row>
    <row r="25" customFormat="false" ht="19.5" hidden="false" customHeight="true" outlineLevel="0" collapsed="false">
      <c r="A25" s="17" t="n">
        <v>7</v>
      </c>
      <c r="B25" s="17" t="s">
        <v>54</v>
      </c>
      <c r="C25" s="18" t="s">
        <v>43</v>
      </c>
      <c r="D25" s="19" t="n">
        <v>8202</v>
      </c>
      <c r="E25" s="18"/>
      <c r="F25" s="18"/>
      <c r="G25" s="18"/>
      <c r="H25" s="18" t="s">
        <v>55</v>
      </c>
    </row>
    <row r="26" customFormat="false" ht="19.5" hidden="false" customHeight="true" outlineLevel="0" collapsed="false">
      <c r="A26" s="8" t="n">
        <v>8</v>
      </c>
      <c r="B26" s="8" t="s">
        <v>56</v>
      </c>
      <c r="C26" s="20" t="s">
        <v>43</v>
      </c>
      <c r="D26" s="21" t="n">
        <v>19284</v>
      </c>
      <c r="E26" s="20"/>
      <c r="F26" s="20"/>
      <c r="G26" s="20"/>
      <c r="H26" s="20" t="s">
        <v>57</v>
      </c>
    </row>
    <row r="27" customFormat="false" ht="19.5" hidden="false" customHeight="true" outlineLevel="0" collapsed="false">
      <c r="A27" s="17" t="n">
        <v>9</v>
      </c>
      <c r="B27" s="17" t="s">
        <v>58</v>
      </c>
      <c r="C27" s="18" t="s">
        <v>43</v>
      </c>
      <c r="D27" s="19" t="n">
        <v>111</v>
      </c>
      <c r="E27" s="18"/>
      <c r="F27" s="18"/>
      <c r="G27" s="18"/>
      <c r="H27" s="18" t="s">
        <v>59</v>
      </c>
    </row>
    <row r="28" customFormat="false" ht="19.5" hidden="false" customHeight="true" outlineLevel="0" collapsed="false">
      <c r="A28" s="8" t="n">
        <v>10</v>
      </c>
      <c r="B28" s="8" t="s">
        <v>60</v>
      </c>
      <c r="C28" s="20" t="s">
        <v>43</v>
      </c>
      <c r="D28" s="21" t="n">
        <v>3622</v>
      </c>
      <c r="E28" s="20"/>
      <c r="F28" s="20"/>
      <c r="G28" s="20"/>
      <c r="H28" s="20" t="s">
        <v>61</v>
      </c>
    </row>
    <row r="29" customFormat="false" ht="15" hidden="false" customHeight="false" outlineLevel="0" collapsed="false">
      <c r="A29" s="22" t="s">
        <v>62</v>
      </c>
      <c r="B29" s="22"/>
      <c r="C29" s="22"/>
      <c r="D29" s="23" t="n">
        <f aca="false">SUM(D19:D28)</f>
        <v>109426</v>
      </c>
      <c r="E29" s="24"/>
      <c r="F29" s="24"/>
      <c r="G29" s="24"/>
      <c r="H29" s="24"/>
    </row>
    <row r="32" customFormat="false" ht="45" hidden="false" customHeight="true" outlineLevel="0" collapsed="false">
      <c r="A32" s="25" t="s">
        <v>63</v>
      </c>
      <c r="B32" s="25"/>
      <c r="C32" s="25"/>
      <c r="D32" s="25"/>
      <c r="E32" s="25"/>
      <c r="F32" s="25"/>
      <c r="G32" s="25"/>
      <c r="H32" s="25"/>
    </row>
  </sheetData>
  <mergeCells count="6">
    <mergeCell ref="A1:H1"/>
    <mergeCell ref="A2:H2"/>
    <mergeCell ref="A14:C14"/>
    <mergeCell ref="A17:H17"/>
    <mergeCell ref="A29:C29"/>
    <mergeCell ref="A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2026-02-10T21:47:38Z</dcterms:created>
  <dc:creator>openpyxl</dc:creator>
  <dc:description/>
  <dc:language>en-US</dc:language>
  <cp:lastModifiedBy/>
  <dcterms:modified xsi:type="dcterms:W3CDTF">2026-02-10T21:47:38Z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