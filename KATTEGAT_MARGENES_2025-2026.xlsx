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atálogo" sheetId="1" state="visible" r:id="rId3"/>
    <sheet name="Márgenes" sheetId="2" state="visible" r:id="rId4"/>
    <sheet name="Historial" sheetId="3" state="visible" r:id="rId5"/>
    <sheet name="Resumen Mensual" sheetId="4" state="visible" r:id="rId6"/>
    <sheet name="Mix Producto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<sst xmlns="http://schemas.openxmlformats.org/spreadsheetml/2006/main" count="261" uniqueCount="122">
  <si>
    <t xml:space="preserve">CATÁLOGO DE PRODUCTOS — ARPAPEL (MAQUILA)</t>
  </si>
  <si>
    <t xml:space="preserve">Kattegat Packing SA de CV — Productos coextruidos</t>
  </si>
  <si>
    <t xml:space="preserve">Clave</t>
  </si>
  <si>
    <t xml:space="preserve">Descripción Comercial</t>
  </si>
  <si>
    <t xml:space="preserve">Papel (g/m²)</t>
  </si>
  <si>
    <t xml:space="preserve">PE (g/m²)</t>
  </si>
  <si>
    <t xml:space="preserve">Gramaje Total (g/m²)</t>
  </si>
  <si>
    <t xml:space="preserve">Precio Venta (MXN/M²)</t>
  </si>
  <si>
    <t xml:space="preserve">Tipo Maquila</t>
  </si>
  <si>
    <t xml:space="preserve">AP0032</t>
  </si>
  <si>
    <t xml:space="preserve">Tela Coextruida Blanca</t>
  </si>
  <si>
    <t xml:space="preserve">Coextrusión</t>
  </si>
  <si>
    <t xml:space="preserve">AP0033</t>
  </si>
  <si>
    <t xml:space="preserve">Coextruido BOND 70+PE 10</t>
  </si>
  <si>
    <t xml:space="preserve">AP0034</t>
  </si>
  <si>
    <t xml:space="preserve">Coextruido KRAFT 130+PE 14</t>
  </si>
  <si>
    <t xml:space="preserve">AP0035</t>
  </si>
  <si>
    <t xml:space="preserve">Coextruido BOND 32.5+PE 15</t>
  </si>
  <si>
    <t xml:space="preserve">AP0038</t>
  </si>
  <si>
    <t xml:space="preserve">Coextruido LWC 60+PE 18</t>
  </si>
  <si>
    <t xml:space="preserve">AP0039</t>
  </si>
  <si>
    <t xml:space="preserve">Coextruido BOND 90+PEBD 15</t>
  </si>
  <si>
    <t xml:space="preserve">SUPUESTOS DE COSTO</t>
  </si>
  <si>
    <t xml:space="preserve">Costo PEBD (USD/kg)</t>
  </si>
  <si>
    <t xml:space="preserve">Tipo de Cambio (MXN/USD)</t>
  </si>
  <si>
    <t xml:space="preserve">Costo PEBD (MXN/kg)</t>
  </si>
  <si>
    <t xml:space="preserve">Costo Conversión (MXN/M²)</t>
  </si>
  <si>
    <t xml:space="preserve">(energía, mano de obra, overhead)</t>
  </si>
  <si>
    <t xml:space="preserve">ANÁLISIS DE MÁRGENES POR PRODUCTO — MAQUILA ARPAPEL</t>
  </si>
  <si>
    <t xml:space="preserve">Papel = $0 (lo pone Arpapel) | Costo Kattegat = PE + Conversión</t>
  </si>
  <si>
    <t xml:space="preserve">Descripción</t>
  </si>
  <si>
    <t xml:space="preserve">PE Cost (MXN/M²)</t>
  </si>
  <si>
    <t xml:space="preserve">Conversión (MXN/M²)</t>
  </si>
  <si>
    <t xml:space="preserve">Costo Total (MXN/M²)</t>
  </si>
  <si>
    <t xml:space="preserve">Margen (MXN/M²)</t>
  </si>
  <si>
    <t xml:space="preserve">Margen %</t>
  </si>
  <si>
    <t xml:space="preserve">Rentabilidad</t>
  </si>
  <si>
    <t xml:space="preserve">HISTORIAL DE VENTAS KATTEGAT → ARPAPEL (2025-2026)</t>
  </si>
  <si>
    <t xml:space="preserve">Mes</t>
  </si>
  <si>
    <t xml:space="preserve">Factura</t>
  </si>
  <si>
    <t xml:space="preserve">PO (ODC)</t>
  </si>
  <si>
    <t xml:space="preserve">Cantidad M²</t>
  </si>
  <si>
    <t xml:space="preserve">P.U. (MXN/M²)</t>
  </si>
  <si>
    <t xml:space="preserve">Subtotal MXN</t>
  </si>
  <si>
    <t xml:space="preserve">Total c/IVA</t>
  </si>
  <si>
    <t xml:space="preserve">TC MXN/USD</t>
  </si>
  <si>
    <t xml:space="preserve">Costo PE (MXN)</t>
  </si>
  <si>
    <t xml:space="preserve">Utilidad Bruta</t>
  </si>
  <si>
    <t xml:space="preserve">Ene 2025</t>
  </si>
  <si>
    <t xml:space="preserve">PO59493</t>
  </si>
  <si>
    <t xml:space="preserve">COEXTRUIDO BOND32.5R+PE15GR 47GR</t>
  </si>
  <si>
    <t xml:space="preserve">PO59494</t>
  </si>
  <si>
    <t xml:space="preserve">PO59363</t>
  </si>
  <si>
    <t xml:space="preserve">PO59583</t>
  </si>
  <si>
    <t xml:space="preserve">COEXTRUIDO BOND70GR+PE10GR 80GR</t>
  </si>
  <si>
    <t xml:space="preserve">Feb 2025</t>
  </si>
  <si>
    <t xml:space="preserve">PO60181</t>
  </si>
  <si>
    <t xml:space="preserve">Abr 2025</t>
  </si>
  <si>
    <t xml:space="preserve">PO60899</t>
  </si>
  <si>
    <t xml:space="preserve">PO61175</t>
  </si>
  <si>
    <t xml:space="preserve">May 2025</t>
  </si>
  <si>
    <t xml:space="preserve">PO61873</t>
  </si>
  <si>
    <t xml:space="preserve">TELA COEXTRUIDA BLANCA 80GR</t>
  </si>
  <si>
    <t xml:space="preserve">Jun 2025</t>
  </si>
  <si>
    <t xml:space="preserve">PO62588</t>
  </si>
  <si>
    <t xml:space="preserve">AP0033/AP0035</t>
  </si>
  <si>
    <t xml:space="preserve">BOND70+PE10 + BOND32.5+PE15</t>
  </si>
  <si>
    <t xml:space="preserve">PO62294</t>
  </si>
  <si>
    <t xml:space="preserve">COEXTRUIDO LWC60GR+PE18GR 78GR</t>
  </si>
  <si>
    <t xml:space="preserve">PO62295</t>
  </si>
  <si>
    <t xml:space="preserve">Jul 2025</t>
  </si>
  <si>
    <t xml:space="preserve">PO62954</t>
  </si>
  <si>
    <t xml:space="preserve">COEXTRUIDO BOND90GR+PEBD15GR 105GR</t>
  </si>
  <si>
    <t xml:space="preserve">PO63188</t>
  </si>
  <si>
    <t xml:space="preserve">Ago 2025</t>
  </si>
  <si>
    <t xml:space="preserve">PO63645</t>
  </si>
  <si>
    <t xml:space="preserve">COEXTRUIDO KRAFT130GR+PE14GR 144GR</t>
  </si>
  <si>
    <t xml:space="preserve">PO63889</t>
  </si>
  <si>
    <t xml:space="preserve">AP0033/AP0038</t>
  </si>
  <si>
    <t xml:space="preserve">BOND70+PE10 + LWC60+PE18</t>
  </si>
  <si>
    <t xml:space="preserve">Sep 2025</t>
  </si>
  <si>
    <t xml:space="preserve">PO63934</t>
  </si>
  <si>
    <t xml:space="preserve">PO64084</t>
  </si>
  <si>
    <t xml:space="preserve">PO64218</t>
  </si>
  <si>
    <t xml:space="preserve">Oct 2025</t>
  </si>
  <si>
    <t xml:space="preserve">PO64528</t>
  </si>
  <si>
    <t xml:space="preserve">PO64529</t>
  </si>
  <si>
    <t xml:space="preserve">PO64624</t>
  </si>
  <si>
    <t xml:space="preserve">PO64808</t>
  </si>
  <si>
    <t xml:space="preserve">PO64809</t>
  </si>
  <si>
    <t xml:space="preserve">PO64832</t>
  </si>
  <si>
    <t xml:space="preserve">PO64934</t>
  </si>
  <si>
    <t xml:space="preserve">PO64935</t>
  </si>
  <si>
    <t xml:space="preserve">PO64936</t>
  </si>
  <si>
    <t xml:space="preserve">Nov 2025</t>
  </si>
  <si>
    <t xml:space="preserve">PO65011</t>
  </si>
  <si>
    <t xml:space="preserve">PO65059</t>
  </si>
  <si>
    <t xml:space="preserve">PO65152</t>
  </si>
  <si>
    <t xml:space="preserve">PO65309</t>
  </si>
  <si>
    <t xml:space="preserve">PO65456</t>
  </si>
  <si>
    <t xml:space="preserve">Dic 2025</t>
  </si>
  <si>
    <t xml:space="preserve">PO65669</t>
  </si>
  <si>
    <t xml:space="preserve">PO65662</t>
  </si>
  <si>
    <t xml:space="preserve">Ene 2026</t>
  </si>
  <si>
    <t xml:space="preserve">PO66064</t>
  </si>
  <si>
    <t xml:space="preserve">Feb 2026</t>
  </si>
  <si>
    <t xml:space="preserve">-</t>
  </si>
  <si>
    <t xml:space="preserve">PO66782</t>
  </si>
  <si>
    <t xml:space="preserve">TOTALES</t>
  </si>
  <si>
    <t xml:space="preserve">Margen Global:</t>
  </si>
  <si>
    <t xml:space="preserve">RESUMEN MENSUAL — FACTURACIÓN Y MÁRGENES</t>
  </si>
  <si>
    <t xml:space="preserve"># Facturas</t>
  </si>
  <si>
    <t xml:space="preserve">M² Totales</t>
  </si>
  <si>
    <t xml:space="preserve">Facturado (MXN)</t>
  </si>
  <si>
    <t xml:space="preserve">TC Promedio</t>
  </si>
  <si>
    <t xml:space="preserve">TOTAL 2025-2026</t>
  </si>
  <si>
    <t xml:space="preserve">MIX DE PRODUCTO — VOLUMEN Y REVENUE POR ARTÍCULO</t>
  </si>
  <si>
    <t xml:space="preserve">% del Volumen</t>
  </si>
  <si>
    <t xml:space="preserve">Revenue MXN</t>
  </si>
  <si>
    <t xml:space="preserve">% del Revenue</t>
  </si>
  <si>
    <t xml:space="preserve">P.U. Promedio</t>
  </si>
  <si>
    <t xml:space="preserve">TOTAL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</si>
</sst>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#,##0.00"/>
    <numFmt numFmtId="166" formatCode="0.0%"/>
    <numFmt numFmtId="167" formatCode="#,##0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B2A4A"/>
      <name val="Arial"/>
      <family val="0"/>
      <charset val="1"/>
    </font>
    <font>
      <sz val="10"/>
      <color rgb="FF666666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1B2A4A"/>
      <name val="Arial"/>
      <family val="0"/>
      <charset val="1"/>
    </font>
    <font>
      <sz val="10"/>
      <color rgb="FF0000FF"/>
      <name val="Arial"/>
      <family val="0"/>
      <charset val="1"/>
    </font>
    <font>
      <i val="true"/>
      <sz val="9"/>
      <color rgb="FF999999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2"/>
      <color rgb="FF00800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B2A4A"/>
        <bgColor rgb="FF003366"/>
      </patternFill>
    </fill>
    <fill>
      <patternFill patternType="solid">
        <fgColor rgb="FFFFF2CC"/>
        <bgColor rgb="FFFFFFFF"/>
      </patternFill>
    </fill>
    <fill>
      <patternFill patternType="solid">
        <fgColor rgb="FFD6E4F0"/>
        <bgColor rgb="FFD0D0D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4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1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1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1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7030A0"/>
      <rgbColor rgb="FFFFF2CC"/>
      <rgbColor rgb="FFD6E4F0"/>
      <rgbColor rgb="FF660066"/>
      <rgbColor rgb="FFFF8080"/>
      <rgbColor rgb="FF0066CC"/>
      <rgbColor rgb="FFD0D0D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000"/>
      <rgbColor rgb="FFFF9900"/>
      <rgbColor rgb="FFFF6600"/>
      <rgbColor rgb="FF666666"/>
      <rgbColor rgb="FF999999"/>
      <rgbColor rgb="FF003366"/>
      <rgbColor rgb="FF00B050"/>
      <rgbColor rgb="FF003300"/>
      <rgbColor rgb="FF333300"/>
      <rgbColor rgb="FF993300"/>
      <rgbColor rgb="FF993366"/>
      <rgbColor rgb="FF333399"/>
      <rgbColor rgb="FF1B2A4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B2A4A"/>
    <pageSetUpPr fitToPage="false"/>
  </sheetPr>
  <dimension ref="A1:G1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32"/>
    <col collapsed="false" customWidth="true" hidden="false" outlineLevel="0" max="3" min="3" style="0" width="14"/>
    <col collapsed="false" customWidth="true" hidden="false" outlineLevel="0" max="4" min="4" style="0" width="12"/>
    <col collapsed="false" customWidth="true" hidden="false" outlineLevel="0" max="5" min="5" style="0" width="18"/>
    <col collapsed="false" customWidth="true" hidden="false" outlineLevel="0" max="6" min="6" style="0" width="22"/>
    <col collapsed="false" customWidth="true" hidden="false" outlineLevel="0" max="7" min="7" style="0" width="16"/>
  </cols>
  <sheetData>
    <row r="1" customFormat="false" ht="17.3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  <c r="F2" s="2"/>
      <c r="G2" s="2"/>
    </row>
    <row r="4" customFormat="false" ht="26.8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</row>
    <row r="5" customFormat="false" ht="15" hidden="false" customHeight="false" outlineLevel="0" collapsed="false">
      <c r="A5" s="4" t="s">
        <v>9</v>
      </c>
      <c r="B5" s="4" t="s">
        <v>10</v>
      </c>
      <c r="C5" s="4" t="n">
        <v>62</v>
      </c>
      <c r="D5" s="4" t="n">
        <v>18</v>
      </c>
      <c r="E5" s="4" t="n">
        <v>80</v>
      </c>
      <c r="F5" s="5" t="n">
        <v>4.15</v>
      </c>
      <c r="G5" s="4" t="s">
        <v>11</v>
      </c>
    </row>
    <row r="6" customFormat="false" ht="15" hidden="false" customHeight="false" outlineLevel="0" collapsed="false">
      <c r="A6" s="4" t="s">
        <v>12</v>
      </c>
      <c r="B6" s="4" t="s">
        <v>13</v>
      </c>
      <c r="C6" s="4" t="n">
        <v>70</v>
      </c>
      <c r="D6" s="4" t="n">
        <v>10</v>
      </c>
      <c r="E6" s="4" t="n">
        <v>80</v>
      </c>
      <c r="F6" s="5" t="n">
        <v>3.7</v>
      </c>
      <c r="G6" s="4" t="s">
        <v>11</v>
      </c>
    </row>
    <row r="7" customFormat="false" ht="15" hidden="false" customHeight="false" outlineLevel="0" collapsed="false">
      <c r="A7" s="4" t="s">
        <v>14</v>
      </c>
      <c r="B7" s="4" t="s">
        <v>15</v>
      </c>
      <c r="C7" s="4" t="n">
        <v>130</v>
      </c>
      <c r="D7" s="4" t="n">
        <v>14</v>
      </c>
      <c r="E7" s="4" t="n">
        <v>144</v>
      </c>
      <c r="F7" s="5" t="n">
        <v>4.2</v>
      </c>
      <c r="G7" s="4" t="s">
        <v>11</v>
      </c>
    </row>
    <row r="8" customFormat="false" ht="15" hidden="false" customHeight="false" outlineLevel="0" collapsed="false">
      <c r="A8" s="4" t="s">
        <v>16</v>
      </c>
      <c r="B8" s="4" t="s">
        <v>17</v>
      </c>
      <c r="C8" s="4" t="n">
        <v>32.5</v>
      </c>
      <c r="D8" s="4" t="n">
        <v>15</v>
      </c>
      <c r="E8" s="4" t="n">
        <v>47</v>
      </c>
      <c r="F8" s="5" t="n">
        <v>2</v>
      </c>
      <c r="G8" s="4" t="s">
        <v>11</v>
      </c>
    </row>
    <row r="9" customFormat="false" ht="15" hidden="false" customHeight="false" outlineLevel="0" collapsed="false">
      <c r="A9" s="4" t="s">
        <v>18</v>
      </c>
      <c r="B9" s="4" t="s">
        <v>19</v>
      </c>
      <c r="C9" s="4" t="n">
        <v>60</v>
      </c>
      <c r="D9" s="4" t="n">
        <v>18</v>
      </c>
      <c r="E9" s="4" t="n">
        <v>78</v>
      </c>
      <c r="F9" s="5" t="n">
        <v>1.4</v>
      </c>
      <c r="G9" s="4" t="s">
        <v>11</v>
      </c>
    </row>
    <row r="10" customFormat="false" ht="15" hidden="false" customHeight="false" outlineLevel="0" collapsed="false">
      <c r="A10" s="4" t="s">
        <v>20</v>
      </c>
      <c r="B10" s="4" t="s">
        <v>21</v>
      </c>
      <c r="C10" s="4" t="n">
        <v>90</v>
      </c>
      <c r="D10" s="4" t="n">
        <v>15</v>
      </c>
      <c r="E10" s="4" t="n">
        <v>105</v>
      </c>
      <c r="F10" s="5" t="n">
        <v>5.5</v>
      </c>
      <c r="G10" s="4" t="s">
        <v>11</v>
      </c>
    </row>
    <row r="13" customFormat="false" ht="15" hidden="false" customHeight="false" outlineLevel="0" collapsed="false">
      <c r="A13" s="6" t="s">
        <v>22</v>
      </c>
      <c r="B13" s="6"/>
      <c r="C13" s="6"/>
      <c r="D13" s="6"/>
    </row>
    <row r="14" customFormat="false" ht="15" hidden="false" customHeight="false" outlineLevel="0" collapsed="false">
      <c r="A14" s="7" t="s">
        <v>23</v>
      </c>
      <c r="B14" s="8" t="n">
        <v>1.5</v>
      </c>
      <c r="C14" s="7"/>
    </row>
    <row r="15" customFormat="false" ht="15" hidden="false" customHeight="false" outlineLevel="0" collapsed="false">
      <c r="A15" s="7" t="s">
        <v>24</v>
      </c>
      <c r="B15" s="8" t="n">
        <v>20.5</v>
      </c>
      <c r="C15" s="7"/>
    </row>
    <row r="16" customFormat="false" ht="15" hidden="false" customHeight="false" outlineLevel="0" collapsed="false">
      <c r="A16" s="7" t="s">
        <v>25</v>
      </c>
      <c r="B16" s="9" t="n">
        <f aca="false">B14*B15</f>
        <v>30.75</v>
      </c>
      <c r="C16" s="7"/>
    </row>
    <row r="17" customFormat="false" ht="15" hidden="false" customHeight="false" outlineLevel="0" collapsed="false">
      <c r="A17" s="7" t="s">
        <v>26</v>
      </c>
      <c r="B17" s="8" t="n">
        <v>0.3</v>
      </c>
      <c r="C17" s="10" t="s">
        <v>27</v>
      </c>
    </row>
  </sheetData>
  <mergeCells count="3">
    <mergeCell ref="A1:G1"/>
    <mergeCell ref="A2:G2"/>
    <mergeCell ref="A13:D1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B050"/>
    <pageSetUpPr fitToPage="false"/>
  </sheetPr>
  <dimension ref="A1:J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30"/>
    <col collapsed="false" customWidth="true" hidden="false" outlineLevel="0" max="3" min="3" style="0" width="12"/>
    <col collapsed="false" customWidth="true" hidden="false" outlineLevel="0" max="4" min="4" style="0" width="16"/>
    <col collapsed="false" customWidth="true" hidden="false" outlineLevel="0" max="7" min="5" style="0" width="18"/>
    <col collapsed="false" customWidth="true" hidden="false" outlineLevel="0" max="8" min="8" style="0" width="16"/>
    <col collapsed="false" customWidth="true" hidden="false" outlineLevel="0" max="9" min="9" style="0" width="12"/>
    <col collapsed="false" customWidth="true" hidden="false" outlineLevel="0" max="10" min="10" style="0" width="14"/>
  </cols>
  <sheetData>
    <row r="1" customFormat="false" ht="17.35" hidden="false" customHeight="false" outlineLevel="0" collapsed="false">
      <c r="A1" s="1" t="s">
        <v>28</v>
      </c>
      <c r="B1" s="1"/>
      <c r="C1" s="1"/>
      <c r="D1" s="1"/>
      <c r="E1" s="1"/>
      <c r="F1" s="1"/>
      <c r="G1" s="1"/>
      <c r="H1" s="1"/>
      <c r="I1" s="1"/>
      <c r="J1" s="1"/>
    </row>
    <row r="2" customFormat="false" ht="15" hidden="false" customHeight="false" outlineLevel="0" collapsed="false">
      <c r="A2" s="2" t="s">
        <v>29</v>
      </c>
      <c r="B2" s="2"/>
      <c r="C2" s="2"/>
      <c r="D2" s="2"/>
      <c r="E2" s="2"/>
      <c r="F2" s="2"/>
      <c r="G2" s="2"/>
      <c r="H2" s="2"/>
      <c r="I2" s="2"/>
      <c r="J2" s="2"/>
    </row>
    <row r="4" customFormat="false" ht="26.85" hidden="false" customHeight="false" outlineLevel="0" collapsed="false">
      <c r="A4" s="3" t="s">
        <v>2</v>
      </c>
      <c r="B4" s="3" t="s">
        <v>30</v>
      </c>
      <c r="C4" s="3" t="s">
        <v>5</v>
      </c>
      <c r="D4" s="3" t="s">
        <v>31</v>
      </c>
      <c r="E4" s="3" t="s">
        <v>32</v>
      </c>
      <c r="F4" s="3" t="s">
        <v>33</v>
      </c>
      <c r="G4" s="3" t="s">
        <v>7</v>
      </c>
      <c r="H4" s="3" t="s">
        <v>34</v>
      </c>
      <c r="I4" s="3" t="s">
        <v>35</v>
      </c>
      <c r="J4" s="3" t="s">
        <v>36</v>
      </c>
    </row>
    <row r="5" customFormat="false" ht="15" hidden="false" customHeight="false" outlineLevel="0" collapsed="false">
      <c r="A5" s="4" t="s">
        <v>9</v>
      </c>
      <c r="B5" s="4" t="s">
        <v>10</v>
      </c>
      <c r="C5" s="4" t="n">
        <v>18</v>
      </c>
      <c r="D5" s="11" t="n">
        <f aca="false">C5/1000*Catálogo!B16</f>
        <v>0.5535</v>
      </c>
      <c r="E5" s="11" t="n">
        <f aca="false">Catálogo!B17</f>
        <v>0.3</v>
      </c>
      <c r="F5" s="11" t="n">
        <f aca="false">D5+E5</f>
        <v>0.8535</v>
      </c>
      <c r="G5" s="11" t="n">
        <f aca="false">Catálogo!F5</f>
        <v>4.15</v>
      </c>
      <c r="H5" s="11" t="n">
        <f aca="false">G5-F5</f>
        <v>3.2965</v>
      </c>
      <c r="I5" s="12" t="n">
        <f aca="false">IF(G5&gt;0,H5/G5,0)</f>
        <v>0.79433734939759</v>
      </c>
      <c r="J5" s="4" t="str">
        <f aca="false">IF(I5&gt;0.5,"⭐⭐⭐",IF(I5&gt;0.3,"⭐⭐","⭐"))</f>
        <v>⭐⭐⭐</v>
      </c>
    </row>
    <row r="6" customFormat="false" ht="15" hidden="false" customHeight="false" outlineLevel="0" collapsed="false">
      <c r="A6" s="4" t="s">
        <v>12</v>
      </c>
      <c r="B6" s="4" t="s">
        <v>13</v>
      </c>
      <c r="C6" s="4" t="n">
        <v>10</v>
      </c>
      <c r="D6" s="11" t="n">
        <f aca="false">C6/1000*Catálogo!B16</f>
        <v>0.3075</v>
      </c>
      <c r="E6" s="11" t="n">
        <f aca="false">Catálogo!B17</f>
        <v>0.3</v>
      </c>
      <c r="F6" s="11" t="n">
        <f aca="false">D6+E6</f>
        <v>0.6075</v>
      </c>
      <c r="G6" s="11" t="n">
        <f aca="false">Catálogo!F6</f>
        <v>3.7</v>
      </c>
      <c r="H6" s="11" t="n">
        <f aca="false">G6-F6</f>
        <v>3.0925</v>
      </c>
      <c r="I6" s="12" t="n">
        <f aca="false">IF(G6&gt;0,H6/G6,0)</f>
        <v>0.835810810810811</v>
      </c>
      <c r="J6" s="4" t="str">
        <f aca="false">IF(I6&gt;0.5,"⭐⭐⭐",IF(I6&gt;0.3,"⭐⭐","⭐"))</f>
        <v>⭐⭐⭐</v>
      </c>
    </row>
    <row r="7" customFormat="false" ht="15" hidden="false" customHeight="false" outlineLevel="0" collapsed="false">
      <c r="A7" s="4" t="s">
        <v>14</v>
      </c>
      <c r="B7" s="4" t="s">
        <v>15</v>
      </c>
      <c r="C7" s="4" t="n">
        <v>14</v>
      </c>
      <c r="D7" s="11" t="n">
        <f aca="false">C7/1000*Catálogo!B16</f>
        <v>0.4305</v>
      </c>
      <c r="E7" s="11" t="n">
        <f aca="false">Catálogo!B17</f>
        <v>0.3</v>
      </c>
      <c r="F7" s="11" t="n">
        <f aca="false">D7+E7</f>
        <v>0.7305</v>
      </c>
      <c r="G7" s="11" t="n">
        <f aca="false">Catálogo!F7</f>
        <v>4.2</v>
      </c>
      <c r="H7" s="11" t="n">
        <f aca="false">G7-F7</f>
        <v>3.4695</v>
      </c>
      <c r="I7" s="12" t="n">
        <f aca="false">IF(G7&gt;0,H7/G7,0)</f>
        <v>0.826071428571429</v>
      </c>
      <c r="J7" s="4" t="str">
        <f aca="false">IF(I7&gt;0.5,"⭐⭐⭐",IF(I7&gt;0.3,"⭐⭐","⭐"))</f>
        <v>⭐⭐⭐</v>
      </c>
    </row>
    <row r="8" customFormat="false" ht="15" hidden="false" customHeight="false" outlineLevel="0" collapsed="false">
      <c r="A8" s="4" t="s">
        <v>16</v>
      </c>
      <c r="B8" s="4" t="s">
        <v>17</v>
      </c>
      <c r="C8" s="4" t="n">
        <v>15</v>
      </c>
      <c r="D8" s="11" t="n">
        <f aca="false">C8/1000*Catálogo!B16</f>
        <v>0.46125</v>
      </c>
      <c r="E8" s="11" t="n">
        <f aca="false">Catálogo!B17</f>
        <v>0.3</v>
      </c>
      <c r="F8" s="11" t="n">
        <f aca="false">D8+E8</f>
        <v>0.76125</v>
      </c>
      <c r="G8" s="11" t="n">
        <f aca="false">Catálogo!F8</f>
        <v>2</v>
      </c>
      <c r="H8" s="11" t="n">
        <f aca="false">G8-F8</f>
        <v>1.23875</v>
      </c>
      <c r="I8" s="12" t="n">
        <f aca="false">IF(G8&gt;0,H8/G8,0)</f>
        <v>0.619375</v>
      </c>
      <c r="J8" s="4" t="str">
        <f aca="false">IF(I8&gt;0.5,"⭐⭐⭐",IF(I8&gt;0.3,"⭐⭐","⭐"))</f>
        <v>⭐⭐⭐</v>
      </c>
    </row>
    <row r="9" customFormat="false" ht="15" hidden="false" customHeight="false" outlineLevel="0" collapsed="false">
      <c r="A9" s="4" t="s">
        <v>18</v>
      </c>
      <c r="B9" s="4" t="s">
        <v>19</v>
      </c>
      <c r="C9" s="4" t="n">
        <v>18</v>
      </c>
      <c r="D9" s="11" t="n">
        <f aca="false">C9/1000*Catálogo!B16</f>
        <v>0.5535</v>
      </c>
      <c r="E9" s="11" t="n">
        <f aca="false">Catálogo!B17</f>
        <v>0.3</v>
      </c>
      <c r="F9" s="11" t="n">
        <f aca="false">D9+E9</f>
        <v>0.8535</v>
      </c>
      <c r="G9" s="11" t="n">
        <f aca="false">Catálogo!F9</f>
        <v>1.4</v>
      </c>
      <c r="H9" s="11" t="n">
        <f aca="false">G9-F9</f>
        <v>0.5465</v>
      </c>
      <c r="I9" s="12" t="n">
        <f aca="false">IF(G9&gt;0,H9/G9,0)</f>
        <v>0.390357142857143</v>
      </c>
      <c r="J9" s="4" t="str">
        <f aca="false">IF(I9&gt;0.5,"⭐⭐⭐",IF(I9&gt;0.3,"⭐⭐","⭐"))</f>
        <v>⭐⭐</v>
      </c>
    </row>
    <row r="10" customFormat="false" ht="15" hidden="false" customHeight="false" outlineLevel="0" collapsed="false">
      <c r="A10" s="4" t="s">
        <v>20</v>
      </c>
      <c r="B10" s="4" t="s">
        <v>21</v>
      </c>
      <c r="C10" s="4" t="n">
        <v>15</v>
      </c>
      <c r="D10" s="11" t="n">
        <f aca="false">C10/1000*Catálogo!B16</f>
        <v>0.46125</v>
      </c>
      <c r="E10" s="11" t="n">
        <f aca="false">Catálogo!B17</f>
        <v>0.3</v>
      </c>
      <c r="F10" s="11" t="n">
        <f aca="false">D10+E10</f>
        <v>0.76125</v>
      </c>
      <c r="G10" s="11" t="n">
        <f aca="false">Catálogo!F10</f>
        <v>5.5</v>
      </c>
      <c r="H10" s="11" t="n">
        <f aca="false">G10-F10</f>
        <v>4.73875</v>
      </c>
      <c r="I10" s="12" t="n">
        <f aca="false">IF(G10&gt;0,H10/G10,0)</f>
        <v>0.861590909090909</v>
      </c>
      <c r="J10" s="4" t="str">
        <f aca="false">IF(I10&gt;0.5,"⭐⭐⭐",IF(I10&gt;0.3,"⭐⭐","⭐"))</f>
        <v>⭐⭐⭐</v>
      </c>
    </row>
  </sheetData>
  <mergeCells count="2">
    <mergeCell ref="A1:J1"/>
    <mergeCell ref="A2:J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4472C4"/>
    <pageSetUpPr fitToPage="false"/>
  </sheetPr>
  <dimension ref="A1:L4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0"/>
    <col collapsed="false" customWidth="true" hidden="false" outlineLevel="0" max="3" min="3" style="0" width="12"/>
    <col collapsed="false" customWidth="true" hidden="false" outlineLevel="0" max="4" min="4" style="0" width="16"/>
    <col collapsed="false" customWidth="true" hidden="false" outlineLevel="0" max="5" min="5" style="0" width="38"/>
    <col collapsed="false" customWidth="true" hidden="false" outlineLevel="0" max="6" min="6" style="0" width="14"/>
    <col collapsed="false" customWidth="true" hidden="false" outlineLevel="0" max="9" min="7" style="0" width="16"/>
    <col collapsed="false" customWidth="true" hidden="false" outlineLevel="0" max="10" min="10" style="0" width="14"/>
    <col collapsed="false" customWidth="true" hidden="false" outlineLevel="0" max="12" min="11" style="0" width="16"/>
  </cols>
  <sheetData>
    <row r="1" customFormat="false" ht="17.35" hidden="false" customHeight="false" outlineLevel="0" collapsed="false">
      <c r="A1" s="1" t="s">
        <v>37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3" customFormat="false" ht="26.85" hidden="false" customHeight="false" outlineLevel="0" collapsed="false">
      <c r="A3" s="3" t="s">
        <v>38</v>
      </c>
      <c r="B3" s="3" t="s">
        <v>39</v>
      </c>
      <c r="C3" s="3" t="s">
        <v>40</v>
      </c>
      <c r="D3" s="3" t="s">
        <v>2</v>
      </c>
      <c r="E3" s="3" t="s">
        <v>30</v>
      </c>
      <c r="F3" s="3" t="s">
        <v>41</v>
      </c>
      <c r="G3" s="3" t="s">
        <v>42</v>
      </c>
      <c r="H3" s="3" t="s">
        <v>43</v>
      </c>
      <c r="I3" s="3" t="s">
        <v>44</v>
      </c>
      <c r="J3" s="3" t="s">
        <v>45</v>
      </c>
      <c r="K3" s="3" t="s">
        <v>46</v>
      </c>
      <c r="L3" s="3" t="s">
        <v>47</v>
      </c>
    </row>
    <row r="4" customFormat="false" ht="15" hidden="false" customHeight="false" outlineLevel="0" collapsed="false">
      <c r="A4" s="4" t="s">
        <v>48</v>
      </c>
      <c r="B4" s="4" t="n">
        <v>90</v>
      </c>
      <c r="C4" s="4" t="s">
        <v>49</v>
      </c>
      <c r="D4" s="4" t="s">
        <v>16</v>
      </c>
      <c r="E4" s="4" t="s">
        <v>50</v>
      </c>
      <c r="F4" s="13" t="n">
        <v>13064</v>
      </c>
      <c r="G4" s="11" t="n">
        <v>2</v>
      </c>
      <c r="H4" s="11" t="n">
        <f aca="false">F4*G4</f>
        <v>26128</v>
      </c>
      <c r="I4" s="11" t="n">
        <f aca="false">H4*1.16</f>
        <v>30308.48</v>
      </c>
      <c r="J4" s="5" t="n">
        <v>20.3</v>
      </c>
      <c r="K4" s="11" t="n">
        <f aca="false">F4*15/1000*Catálogo!B14*J4+F4*Catálogo!B17</f>
        <v>9886.182</v>
      </c>
      <c r="L4" s="11" t="n">
        <f aca="false">H4-K4</f>
        <v>16241.818</v>
      </c>
    </row>
    <row r="5" customFormat="false" ht="15" hidden="false" customHeight="false" outlineLevel="0" collapsed="false">
      <c r="A5" s="4" t="s">
        <v>48</v>
      </c>
      <c r="B5" s="4" t="n">
        <v>91</v>
      </c>
      <c r="C5" s="4" t="s">
        <v>51</v>
      </c>
      <c r="D5" s="4" t="s">
        <v>16</v>
      </c>
      <c r="E5" s="4" t="s">
        <v>50</v>
      </c>
      <c r="F5" s="13" t="n">
        <v>59984</v>
      </c>
      <c r="G5" s="11" t="n">
        <v>2</v>
      </c>
      <c r="H5" s="11" t="n">
        <f aca="false">F5*G5</f>
        <v>119968</v>
      </c>
      <c r="I5" s="11" t="n">
        <f aca="false">H5*1.16</f>
        <v>139162.88</v>
      </c>
      <c r="J5" s="5" t="n">
        <v>20.3</v>
      </c>
      <c r="K5" s="11" t="n">
        <f aca="false">F5*15/1000*Catálogo!B14*J5+F5*Catálogo!B17</f>
        <v>45392.892</v>
      </c>
      <c r="L5" s="11" t="n">
        <f aca="false">H5-K5</f>
        <v>74575.108</v>
      </c>
    </row>
    <row r="6" customFormat="false" ht="15" hidden="false" customHeight="false" outlineLevel="0" collapsed="false">
      <c r="A6" s="4" t="s">
        <v>48</v>
      </c>
      <c r="B6" s="4" t="n">
        <v>92</v>
      </c>
      <c r="C6" s="4" t="s">
        <v>52</v>
      </c>
      <c r="D6" s="4" t="s">
        <v>16</v>
      </c>
      <c r="E6" s="4" t="s">
        <v>50</v>
      </c>
      <c r="F6" s="13" t="n">
        <v>30400</v>
      </c>
      <c r="G6" s="11" t="n">
        <v>2</v>
      </c>
      <c r="H6" s="11" t="n">
        <f aca="false">F6*G6</f>
        <v>60800</v>
      </c>
      <c r="I6" s="11" t="n">
        <f aca="false">H6*1.16</f>
        <v>70528</v>
      </c>
      <c r="J6" s="5" t="n">
        <v>20.3</v>
      </c>
      <c r="K6" s="11" t="n">
        <f aca="false">F6*15/1000*Catálogo!B14*J6+F6*Catálogo!B17</f>
        <v>23005.2</v>
      </c>
      <c r="L6" s="11" t="n">
        <f aca="false">H6-K6</f>
        <v>37794.8</v>
      </c>
    </row>
    <row r="7" customFormat="false" ht="15" hidden="false" customHeight="false" outlineLevel="0" collapsed="false">
      <c r="A7" s="4" t="s">
        <v>48</v>
      </c>
      <c r="B7" s="4" t="n">
        <v>93</v>
      </c>
      <c r="C7" s="4" t="s">
        <v>53</v>
      </c>
      <c r="D7" s="4" t="s">
        <v>12</v>
      </c>
      <c r="E7" s="4" t="s">
        <v>54</v>
      </c>
      <c r="F7" s="13" t="n">
        <v>38308</v>
      </c>
      <c r="G7" s="11" t="n">
        <v>3.7</v>
      </c>
      <c r="H7" s="11" t="n">
        <f aca="false">F7*G7</f>
        <v>141739.6</v>
      </c>
      <c r="I7" s="11" t="n">
        <f aca="false">H7*1.16</f>
        <v>164417.936</v>
      </c>
      <c r="J7" s="5" t="n">
        <v>20.3</v>
      </c>
      <c r="K7" s="11" t="n">
        <f aca="false">F7*10/1000*Catálogo!B14*J7+F7*Catálogo!B17</f>
        <v>23157.186</v>
      </c>
      <c r="L7" s="11" t="n">
        <f aca="false">H7-K7</f>
        <v>118582.414</v>
      </c>
    </row>
    <row r="8" customFormat="false" ht="15" hidden="false" customHeight="false" outlineLevel="0" collapsed="false">
      <c r="A8" s="4" t="s">
        <v>55</v>
      </c>
      <c r="B8" s="4" t="n">
        <v>95</v>
      </c>
      <c r="C8" s="4" t="s">
        <v>56</v>
      </c>
      <c r="D8" s="4" t="s">
        <v>12</v>
      </c>
      <c r="E8" s="4" t="s">
        <v>54</v>
      </c>
      <c r="F8" s="13" t="n">
        <v>41572.5</v>
      </c>
      <c r="G8" s="11" t="n">
        <v>3.7</v>
      </c>
      <c r="H8" s="11" t="n">
        <f aca="false">F8*G8</f>
        <v>153818.25</v>
      </c>
      <c r="I8" s="11" t="n">
        <f aca="false">H8*1.16</f>
        <v>178429.17</v>
      </c>
      <c r="J8" s="5" t="n">
        <v>20.4</v>
      </c>
      <c r="K8" s="11" t="n">
        <f aca="false">F8*10/1000*Catálogo!B14*J8+F8*Catálogo!B17</f>
        <v>25192.935</v>
      </c>
      <c r="L8" s="11" t="n">
        <f aca="false">H8-K8</f>
        <v>128625.315</v>
      </c>
    </row>
    <row r="9" customFormat="false" ht="15" hidden="false" customHeight="false" outlineLevel="0" collapsed="false">
      <c r="A9" s="4" t="s">
        <v>57</v>
      </c>
      <c r="B9" s="4" t="n">
        <v>96</v>
      </c>
      <c r="C9" s="4" t="s">
        <v>58</v>
      </c>
      <c r="D9" s="4" t="s">
        <v>12</v>
      </c>
      <c r="E9" s="4" t="s">
        <v>54</v>
      </c>
      <c r="F9" s="13" t="n">
        <v>27600</v>
      </c>
      <c r="G9" s="11" t="n">
        <v>3.7</v>
      </c>
      <c r="H9" s="11" t="n">
        <f aca="false">F9*G9</f>
        <v>102120</v>
      </c>
      <c r="I9" s="11" t="n">
        <f aca="false">H9*1.16</f>
        <v>118459.2</v>
      </c>
      <c r="J9" s="5" t="n">
        <v>19.8</v>
      </c>
      <c r="K9" s="11" t="n">
        <f aca="false">F9*10/1000*Catálogo!B14*J9+F9*Catálogo!B17</f>
        <v>16477.2</v>
      </c>
      <c r="L9" s="11" t="n">
        <f aca="false">H9-K9</f>
        <v>85642.8</v>
      </c>
    </row>
    <row r="10" customFormat="false" ht="15" hidden="false" customHeight="false" outlineLevel="0" collapsed="false">
      <c r="A10" s="4" t="s">
        <v>57</v>
      </c>
      <c r="B10" s="4" t="n">
        <v>97</v>
      </c>
      <c r="C10" s="4" t="s">
        <v>59</v>
      </c>
      <c r="D10" s="4" t="s">
        <v>12</v>
      </c>
      <c r="E10" s="4" t="s">
        <v>54</v>
      </c>
      <c r="F10" s="13" t="n">
        <v>39330</v>
      </c>
      <c r="G10" s="11" t="n">
        <v>3.7</v>
      </c>
      <c r="H10" s="11" t="n">
        <f aca="false">F10*G10</f>
        <v>145521</v>
      </c>
      <c r="I10" s="11" t="n">
        <f aca="false">H10*1.16</f>
        <v>168804.36</v>
      </c>
      <c r="J10" s="5" t="n">
        <v>19.8</v>
      </c>
      <c r="K10" s="11" t="n">
        <f aca="false">F10*10/1000*Catálogo!B14*J10+F10*Catálogo!B17</f>
        <v>23480.01</v>
      </c>
      <c r="L10" s="11" t="n">
        <f aca="false">H10-K10</f>
        <v>122040.99</v>
      </c>
    </row>
    <row r="11" customFormat="false" ht="15" hidden="false" customHeight="false" outlineLevel="0" collapsed="false">
      <c r="A11" s="4" t="s">
        <v>60</v>
      </c>
      <c r="B11" s="4" t="n">
        <v>98</v>
      </c>
      <c r="C11" s="4" t="s">
        <v>61</v>
      </c>
      <c r="D11" s="4" t="s">
        <v>9</v>
      </c>
      <c r="E11" s="4" t="s">
        <v>62</v>
      </c>
      <c r="F11" s="13" t="n">
        <v>19730.7</v>
      </c>
      <c r="G11" s="11" t="n">
        <v>4.15</v>
      </c>
      <c r="H11" s="11" t="n">
        <f aca="false">F11*G11</f>
        <v>81882.405</v>
      </c>
      <c r="I11" s="11" t="n">
        <f aca="false">H11*1.16</f>
        <v>94983.5898</v>
      </c>
      <c r="J11" s="5" t="n">
        <v>19.5</v>
      </c>
      <c r="K11" s="11" t="n">
        <f aca="false">F11*18/1000*Catálogo!B14*J11+F11*Catálogo!B17</f>
        <v>16307.42355</v>
      </c>
      <c r="L11" s="11" t="n">
        <f aca="false">H11-K11</f>
        <v>65574.98145</v>
      </c>
    </row>
    <row r="12" customFormat="false" ht="15" hidden="false" customHeight="false" outlineLevel="0" collapsed="false">
      <c r="A12" s="4" t="s">
        <v>63</v>
      </c>
      <c r="B12" s="4" t="n">
        <v>100</v>
      </c>
      <c r="C12" s="4" t="s">
        <v>64</v>
      </c>
      <c r="D12" s="4" t="s">
        <v>65</v>
      </c>
      <c r="E12" s="4" t="s">
        <v>66</v>
      </c>
      <c r="F12" s="13" t="n">
        <v>177552.5</v>
      </c>
      <c r="G12" s="11" t="n">
        <v>2.67</v>
      </c>
      <c r="H12" s="11" t="n">
        <f aca="false">F12*G12</f>
        <v>474065.175</v>
      </c>
      <c r="I12" s="11" t="n">
        <f aca="false">H12*1.16</f>
        <v>549915.603</v>
      </c>
      <c r="J12" s="5" t="n">
        <v>19.7</v>
      </c>
      <c r="K12" s="11" t="n">
        <f aca="false">F12*10/1000*Catálogo!B14*J12+F12*Catálogo!B17</f>
        <v>105732.51375</v>
      </c>
      <c r="L12" s="11" t="n">
        <f aca="false">H12-K12</f>
        <v>368332.66125</v>
      </c>
    </row>
    <row r="13" customFormat="false" ht="15" hidden="false" customHeight="false" outlineLevel="0" collapsed="false">
      <c r="A13" s="4" t="s">
        <v>63</v>
      </c>
      <c r="B13" s="4" t="n">
        <v>101</v>
      </c>
      <c r="C13" s="4" t="s">
        <v>67</v>
      </c>
      <c r="D13" s="4" t="s">
        <v>18</v>
      </c>
      <c r="E13" s="4" t="s">
        <v>68</v>
      </c>
      <c r="F13" s="13" t="n">
        <v>61300</v>
      </c>
      <c r="G13" s="11" t="n">
        <v>1.4</v>
      </c>
      <c r="H13" s="11" t="n">
        <f aca="false">F13*G13</f>
        <v>85820</v>
      </c>
      <c r="I13" s="11" t="n">
        <f aca="false">H13*1.16</f>
        <v>99551.2</v>
      </c>
      <c r="J13" s="5" t="n">
        <v>19.7</v>
      </c>
      <c r="K13" s="11" t="n">
        <f aca="false">F13*18/1000*Catálogo!B14*J13+F13*Catálogo!B17</f>
        <v>50995.47</v>
      </c>
      <c r="L13" s="11" t="n">
        <f aca="false">H13-K13</f>
        <v>34824.53</v>
      </c>
    </row>
    <row r="14" customFormat="false" ht="15" hidden="false" customHeight="false" outlineLevel="0" collapsed="false">
      <c r="A14" s="4" t="s">
        <v>63</v>
      </c>
      <c r="B14" s="4" t="n">
        <v>102</v>
      </c>
      <c r="C14" s="4" t="s">
        <v>69</v>
      </c>
      <c r="D14" s="4" t="s">
        <v>16</v>
      </c>
      <c r="E14" s="4" t="s">
        <v>50</v>
      </c>
      <c r="F14" s="13" t="n">
        <v>70300</v>
      </c>
      <c r="G14" s="11" t="n">
        <v>2</v>
      </c>
      <c r="H14" s="11" t="n">
        <f aca="false">F14*G14</f>
        <v>140600</v>
      </c>
      <c r="I14" s="11" t="n">
        <f aca="false">H14*1.16</f>
        <v>163096</v>
      </c>
      <c r="J14" s="5" t="n">
        <v>19.7</v>
      </c>
      <c r="K14" s="11" t="n">
        <f aca="false">F14*15/1000*Catálogo!B14*J14+F14*Catálogo!B17</f>
        <v>52250.475</v>
      </c>
      <c r="L14" s="11" t="n">
        <f aca="false">H14-K14</f>
        <v>88349.525</v>
      </c>
    </row>
    <row r="15" customFormat="false" ht="15" hidden="false" customHeight="false" outlineLevel="0" collapsed="false">
      <c r="A15" s="4" t="s">
        <v>70</v>
      </c>
      <c r="B15" s="4" t="n">
        <v>103</v>
      </c>
      <c r="C15" s="4" t="s">
        <v>71</v>
      </c>
      <c r="D15" s="4" t="s">
        <v>20</v>
      </c>
      <c r="E15" s="4" t="s">
        <v>72</v>
      </c>
      <c r="F15" s="13" t="n">
        <v>89100</v>
      </c>
      <c r="G15" s="11" t="n">
        <v>5.5</v>
      </c>
      <c r="H15" s="11" t="n">
        <f aca="false">F15*G15</f>
        <v>490050</v>
      </c>
      <c r="I15" s="11" t="n">
        <f aca="false">H15*1.16</f>
        <v>568458</v>
      </c>
      <c r="J15" s="5" t="n">
        <v>19.9</v>
      </c>
      <c r="K15" s="11" t="n">
        <f aca="false">F15*15/1000*Catálogo!B14*J15+F15*Catálogo!B17</f>
        <v>66624.525</v>
      </c>
      <c r="L15" s="11" t="n">
        <f aca="false">H15-K15</f>
        <v>423425.475</v>
      </c>
    </row>
    <row r="16" customFormat="false" ht="15" hidden="false" customHeight="false" outlineLevel="0" collapsed="false">
      <c r="A16" s="4" t="s">
        <v>70</v>
      </c>
      <c r="B16" s="4" t="n">
        <v>104</v>
      </c>
      <c r="C16" s="4" t="s">
        <v>73</v>
      </c>
      <c r="D16" s="4" t="s">
        <v>16</v>
      </c>
      <c r="E16" s="4" t="s">
        <v>50</v>
      </c>
      <c r="F16" s="13" t="n">
        <v>85690</v>
      </c>
      <c r="G16" s="11" t="n">
        <v>2</v>
      </c>
      <c r="H16" s="11" t="n">
        <f aca="false">F16*G16</f>
        <v>171380</v>
      </c>
      <c r="I16" s="11" t="n">
        <f aca="false">H16*1.16</f>
        <v>198800.8</v>
      </c>
      <c r="J16" s="5" t="n">
        <v>19.9</v>
      </c>
      <c r="K16" s="11" t="n">
        <f aca="false">F16*15/1000*Catálogo!B14*J16+F16*Catálogo!B17</f>
        <v>64074.6975</v>
      </c>
      <c r="L16" s="11" t="n">
        <f aca="false">H16-K16</f>
        <v>107305.3025</v>
      </c>
    </row>
    <row r="17" customFormat="false" ht="15" hidden="false" customHeight="false" outlineLevel="0" collapsed="false">
      <c r="A17" s="4" t="s">
        <v>74</v>
      </c>
      <c r="B17" s="4" t="n">
        <v>106</v>
      </c>
      <c r="C17" s="4" t="s">
        <v>75</v>
      </c>
      <c r="D17" s="4" t="s">
        <v>14</v>
      </c>
      <c r="E17" s="4" t="s">
        <v>76</v>
      </c>
      <c r="F17" s="13" t="n">
        <v>5310</v>
      </c>
      <c r="G17" s="11" t="n">
        <v>4.2</v>
      </c>
      <c r="H17" s="11" t="n">
        <f aca="false">F17*G17</f>
        <v>22302</v>
      </c>
      <c r="I17" s="11" t="n">
        <f aca="false">H17*1.16</f>
        <v>25870.32</v>
      </c>
      <c r="J17" s="5" t="n">
        <v>20</v>
      </c>
      <c r="K17" s="11" t="n">
        <f aca="false">F17*14/1000*Catálogo!B14*J17+F17*Catálogo!B17</f>
        <v>3823.2</v>
      </c>
      <c r="L17" s="11" t="n">
        <f aca="false">H17-K17</f>
        <v>18478.8</v>
      </c>
    </row>
    <row r="18" customFormat="false" ht="15" hidden="false" customHeight="false" outlineLevel="0" collapsed="false">
      <c r="A18" s="4" t="s">
        <v>74</v>
      </c>
      <c r="B18" s="4" t="n">
        <v>108</v>
      </c>
      <c r="C18" s="4" t="s">
        <v>77</v>
      </c>
      <c r="D18" s="4" t="s">
        <v>78</v>
      </c>
      <c r="E18" s="4" t="s">
        <v>79</v>
      </c>
      <c r="F18" s="13" t="n">
        <v>82022.5</v>
      </c>
      <c r="G18" s="11" t="n">
        <v>3.31</v>
      </c>
      <c r="H18" s="11" t="n">
        <f aca="false">F18*G18</f>
        <v>271494.475</v>
      </c>
      <c r="I18" s="11" t="n">
        <f aca="false">H18*1.16</f>
        <v>314933.591</v>
      </c>
      <c r="J18" s="5" t="n">
        <v>20</v>
      </c>
      <c r="K18" s="11" t="n">
        <f aca="false">F18*10/1000*Catálogo!B14*J18+F18*Catálogo!B17</f>
        <v>49213.5</v>
      </c>
      <c r="L18" s="11" t="n">
        <f aca="false">H18-K18</f>
        <v>222280.975</v>
      </c>
    </row>
    <row r="19" customFormat="false" ht="15" hidden="false" customHeight="false" outlineLevel="0" collapsed="false">
      <c r="A19" s="4" t="s">
        <v>80</v>
      </c>
      <c r="B19" s="4" t="n">
        <v>109</v>
      </c>
      <c r="C19" s="4" t="s">
        <v>81</v>
      </c>
      <c r="D19" s="4" t="s">
        <v>16</v>
      </c>
      <c r="E19" s="4" t="s">
        <v>50</v>
      </c>
      <c r="F19" s="13" t="n">
        <v>57190</v>
      </c>
      <c r="G19" s="11" t="n">
        <v>2</v>
      </c>
      <c r="H19" s="11" t="n">
        <f aca="false">F19*G19</f>
        <v>114380</v>
      </c>
      <c r="I19" s="11" t="n">
        <f aca="false">H19*1.16</f>
        <v>132680.8</v>
      </c>
      <c r="J19" s="5" t="n">
        <v>19.8</v>
      </c>
      <c r="K19" s="11" t="n">
        <f aca="false">F19*15/1000*Catálogo!B14*J19+F19*Catálogo!B17</f>
        <v>42635.145</v>
      </c>
      <c r="L19" s="11" t="n">
        <f aca="false">H19-K19</f>
        <v>71744.855</v>
      </c>
    </row>
    <row r="20" customFormat="false" ht="15" hidden="false" customHeight="false" outlineLevel="0" collapsed="false">
      <c r="A20" s="4" t="s">
        <v>80</v>
      </c>
      <c r="B20" s="4" t="n">
        <v>110</v>
      </c>
      <c r="C20" s="4" t="s">
        <v>82</v>
      </c>
      <c r="D20" s="4" t="s">
        <v>12</v>
      </c>
      <c r="E20" s="4" t="s">
        <v>54</v>
      </c>
      <c r="F20" s="13" t="n">
        <v>86480</v>
      </c>
      <c r="G20" s="11" t="n">
        <v>3.7</v>
      </c>
      <c r="H20" s="11" t="n">
        <f aca="false">F20*G20</f>
        <v>319976</v>
      </c>
      <c r="I20" s="11" t="n">
        <f aca="false">H20*1.16</f>
        <v>371172.16</v>
      </c>
      <c r="J20" s="5" t="n">
        <v>19.8</v>
      </c>
      <c r="K20" s="11" t="n">
        <f aca="false">F20*10/1000*Catálogo!B14*J20+F20*Catálogo!B17</f>
        <v>51628.56</v>
      </c>
      <c r="L20" s="11" t="n">
        <f aca="false">H20-K20</f>
        <v>268347.44</v>
      </c>
    </row>
    <row r="21" customFormat="false" ht="15" hidden="false" customHeight="false" outlineLevel="0" collapsed="false">
      <c r="A21" s="4" t="s">
        <v>80</v>
      </c>
      <c r="B21" s="4" t="n">
        <v>111</v>
      </c>
      <c r="C21" s="4" t="s">
        <v>83</v>
      </c>
      <c r="D21" s="4" t="s">
        <v>14</v>
      </c>
      <c r="E21" s="4" t="s">
        <v>76</v>
      </c>
      <c r="F21" s="13" t="n">
        <v>14900</v>
      </c>
      <c r="G21" s="11" t="n">
        <v>4.2</v>
      </c>
      <c r="H21" s="11" t="n">
        <f aca="false">F21*G21</f>
        <v>62580</v>
      </c>
      <c r="I21" s="11" t="n">
        <f aca="false">H21*1.16</f>
        <v>72592.8</v>
      </c>
      <c r="J21" s="5" t="n">
        <v>19.8</v>
      </c>
      <c r="K21" s="11" t="n">
        <f aca="false">F21*14/1000*Catálogo!B14*J21+F21*Catálogo!B17</f>
        <v>10665.42</v>
      </c>
      <c r="L21" s="11" t="n">
        <f aca="false">H21-K21</f>
        <v>51914.58</v>
      </c>
    </row>
    <row r="22" customFormat="false" ht="15" hidden="false" customHeight="false" outlineLevel="0" collapsed="false">
      <c r="A22" s="4" t="s">
        <v>84</v>
      </c>
      <c r="B22" s="4" t="n">
        <v>112</v>
      </c>
      <c r="C22" s="4" t="s">
        <v>85</v>
      </c>
      <c r="D22" s="4" t="s">
        <v>14</v>
      </c>
      <c r="E22" s="4" t="s">
        <v>76</v>
      </c>
      <c r="F22" s="13" t="n">
        <v>39159</v>
      </c>
      <c r="G22" s="11" t="n">
        <v>4.2</v>
      </c>
      <c r="H22" s="11" t="n">
        <f aca="false">F22*G22</f>
        <v>164467.8</v>
      </c>
      <c r="I22" s="11" t="n">
        <f aca="false">H22*1.16</f>
        <v>190782.648</v>
      </c>
      <c r="J22" s="5" t="n">
        <v>20.1</v>
      </c>
      <c r="K22" s="11" t="n">
        <f aca="false">F22*14/1000*Catálogo!B14*J22+F22*Catálogo!B17</f>
        <v>28276.7139</v>
      </c>
      <c r="L22" s="11" t="n">
        <f aca="false">H22-K22</f>
        <v>136191.0861</v>
      </c>
    </row>
    <row r="23" customFormat="false" ht="15" hidden="false" customHeight="false" outlineLevel="0" collapsed="false">
      <c r="A23" s="4" t="s">
        <v>84</v>
      </c>
      <c r="B23" s="4" t="n">
        <v>113</v>
      </c>
      <c r="C23" s="4" t="s">
        <v>86</v>
      </c>
      <c r="D23" s="4" t="s">
        <v>65</v>
      </c>
      <c r="E23" s="4" t="s">
        <v>66</v>
      </c>
      <c r="F23" s="13" t="n">
        <v>60660</v>
      </c>
      <c r="G23" s="11" t="n">
        <v>3.3</v>
      </c>
      <c r="H23" s="11" t="n">
        <f aca="false">F23*G23</f>
        <v>200178</v>
      </c>
      <c r="I23" s="11" t="n">
        <f aca="false">H23*1.16</f>
        <v>232206.48</v>
      </c>
      <c r="J23" s="5" t="n">
        <v>20.1</v>
      </c>
      <c r="K23" s="11" t="n">
        <f aca="false">F23*10/1000*Catálogo!B14*J23+F23*Catálogo!B17</f>
        <v>36486.99</v>
      </c>
      <c r="L23" s="11" t="n">
        <f aca="false">H23-K23</f>
        <v>163691.01</v>
      </c>
    </row>
    <row r="24" customFormat="false" ht="15" hidden="false" customHeight="false" outlineLevel="0" collapsed="false">
      <c r="A24" s="4" t="s">
        <v>84</v>
      </c>
      <c r="B24" s="4" t="n">
        <v>114</v>
      </c>
      <c r="C24" s="4" t="s">
        <v>87</v>
      </c>
      <c r="D24" s="4" t="s">
        <v>16</v>
      </c>
      <c r="E24" s="4" t="s">
        <v>50</v>
      </c>
      <c r="F24" s="13" t="n">
        <v>28405</v>
      </c>
      <c r="G24" s="11" t="n">
        <v>2</v>
      </c>
      <c r="H24" s="11" t="n">
        <f aca="false">F24*G24</f>
        <v>56810</v>
      </c>
      <c r="I24" s="11" t="n">
        <f aca="false">H24*1.16</f>
        <v>65899.6</v>
      </c>
      <c r="J24" s="5" t="n">
        <v>20.1</v>
      </c>
      <c r="K24" s="11" t="n">
        <f aca="false">F24*15/1000*Catálogo!B14*J24+F24*Catálogo!B17</f>
        <v>21367.66125</v>
      </c>
      <c r="L24" s="11" t="n">
        <f aca="false">H24-K24</f>
        <v>35442.33875</v>
      </c>
    </row>
    <row r="25" customFormat="false" ht="15" hidden="false" customHeight="false" outlineLevel="0" collapsed="false">
      <c r="A25" s="4" t="s">
        <v>84</v>
      </c>
      <c r="B25" s="4" t="n">
        <v>115</v>
      </c>
      <c r="C25" s="4" t="s">
        <v>88</v>
      </c>
      <c r="D25" s="4" t="s">
        <v>16</v>
      </c>
      <c r="E25" s="4" t="s">
        <v>50</v>
      </c>
      <c r="F25" s="13" t="n">
        <v>90060</v>
      </c>
      <c r="G25" s="11" t="n">
        <v>2</v>
      </c>
      <c r="H25" s="11" t="n">
        <f aca="false">F25*G25</f>
        <v>180120</v>
      </c>
      <c r="I25" s="11" t="n">
        <f aca="false">H25*1.16</f>
        <v>208939.2</v>
      </c>
      <c r="J25" s="5" t="n">
        <v>20.1</v>
      </c>
      <c r="K25" s="11" t="n">
        <f aca="false">F25*15/1000*Catálogo!B14*J25+F25*Catálogo!B17</f>
        <v>67747.635</v>
      </c>
      <c r="L25" s="11" t="n">
        <f aca="false">H25-K25</f>
        <v>112372.365</v>
      </c>
    </row>
    <row r="26" customFormat="false" ht="15" hidden="false" customHeight="false" outlineLevel="0" collapsed="false">
      <c r="A26" s="4" t="s">
        <v>84</v>
      </c>
      <c r="B26" s="4" t="n">
        <v>116</v>
      </c>
      <c r="C26" s="4" t="s">
        <v>89</v>
      </c>
      <c r="D26" s="4" t="s">
        <v>12</v>
      </c>
      <c r="E26" s="4" t="s">
        <v>54</v>
      </c>
      <c r="F26" s="13" t="n">
        <v>45655</v>
      </c>
      <c r="G26" s="11" t="n">
        <v>3.7</v>
      </c>
      <c r="H26" s="11" t="n">
        <f aca="false">F26*G26</f>
        <v>168923.5</v>
      </c>
      <c r="I26" s="11" t="n">
        <f aca="false">H26*1.16</f>
        <v>195951.26</v>
      </c>
      <c r="J26" s="5" t="n">
        <v>20.1</v>
      </c>
      <c r="K26" s="11" t="n">
        <f aca="false">F26*10/1000*Catálogo!B14*J26+F26*Catálogo!B17</f>
        <v>27461.4825</v>
      </c>
      <c r="L26" s="11" t="n">
        <f aca="false">H26-K26</f>
        <v>141462.0175</v>
      </c>
    </row>
    <row r="27" customFormat="false" ht="15" hidden="false" customHeight="false" outlineLevel="0" collapsed="false">
      <c r="A27" s="4" t="s">
        <v>84</v>
      </c>
      <c r="B27" s="4" t="n">
        <v>117</v>
      </c>
      <c r="C27" s="4" t="s">
        <v>90</v>
      </c>
      <c r="D27" s="4" t="s">
        <v>16</v>
      </c>
      <c r="E27" s="4" t="s">
        <v>50</v>
      </c>
      <c r="F27" s="13" t="n">
        <v>28500</v>
      </c>
      <c r="G27" s="11" t="n">
        <v>2</v>
      </c>
      <c r="H27" s="11" t="n">
        <f aca="false">F27*G27</f>
        <v>57000</v>
      </c>
      <c r="I27" s="11" t="n">
        <f aca="false">H27*1.16</f>
        <v>66120</v>
      </c>
      <c r="J27" s="5" t="n">
        <v>20.1</v>
      </c>
      <c r="K27" s="11" t="n">
        <f aca="false">F27*15/1000*Catálogo!B14*J27+F27*Catálogo!B17</f>
        <v>21439.125</v>
      </c>
      <c r="L27" s="11" t="n">
        <f aca="false">H27-K27</f>
        <v>35560.875</v>
      </c>
    </row>
    <row r="28" customFormat="false" ht="15" hidden="false" customHeight="false" outlineLevel="0" collapsed="false">
      <c r="A28" s="4" t="s">
        <v>84</v>
      </c>
      <c r="B28" s="4" t="n">
        <v>118</v>
      </c>
      <c r="C28" s="4" t="s">
        <v>91</v>
      </c>
      <c r="D28" s="4" t="s">
        <v>16</v>
      </c>
      <c r="E28" s="4" t="s">
        <v>50</v>
      </c>
      <c r="F28" s="13" t="n">
        <v>28215</v>
      </c>
      <c r="G28" s="11" t="n">
        <v>2</v>
      </c>
      <c r="H28" s="11" t="n">
        <f aca="false">F28*G28</f>
        <v>56430</v>
      </c>
      <c r="I28" s="11" t="n">
        <f aca="false">H28*1.16</f>
        <v>65458.8</v>
      </c>
      <c r="J28" s="5" t="n">
        <v>20.1</v>
      </c>
      <c r="K28" s="11" t="n">
        <f aca="false">F28*15/1000*Catálogo!B14*J28+F28*Catálogo!B17</f>
        <v>21224.73375</v>
      </c>
      <c r="L28" s="11" t="n">
        <f aca="false">H28-K28</f>
        <v>35205.26625</v>
      </c>
    </row>
    <row r="29" customFormat="false" ht="15" hidden="false" customHeight="false" outlineLevel="0" collapsed="false">
      <c r="A29" s="4" t="s">
        <v>84</v>
      </c>
      <c r="B29" s="4" t="n">
        <v>119</v>
      </c>
      <c r="C29" s="4" t="s">
        <v>92</v>
      </c>
      <c r="D29" s="4" t="s">
        <v>16</v>
      </c>
      <c r="E29" s="4" t="s">
        <v>50</v>
      </c>
      <c r="F29" s="13" t="n">
        <v>9500</v>
      </c>
      <c r="G29" s="11" t="n">
        <v>2</v>
      </c>
      <c r="H29" s="11" t="n">
        <f aca="false">F29*G29</f>
        <v>19000</v>
      </c>
      <c r="I29" s="11" t="n">
        <f aca="false">H29*1.16</f>
        <v>22040</v>
      </c>
      <c r="J29" s="5" t="n">
        <v>20.1</v>
      </c>
      <c r="K29" s="11" t="n">
        <f aca="false">F29*15/1000*Catálogo!B14*J29+F29*Catálogo!B17</f>
        <v>7146.375</v>
      </c>
      <c r="L29" s="11" t="n">
        <f aca="false">H29-K29</f>
        <v>11853.625</v>
      </c>
    </row>
    <row r="30" customFormat="false" ht="15" hidden="false" customHeight="false" outlineLevel="0" collapsed="false">
      <c r="A30" s="4" t="s">
        <v>84</v>
      </c>
      <c r="B30" s="4" t="n">
        <v>120</v>
      </c>
      <c r="C30" s="4" t="s">
        <v>93</v>
      </c>
      <c r="D30" s="4" t="s">
        <v>16</v>
      </c>
      <c r="E30" s="4" t="s">
        <v>50</v>
      </c>
      <c r="F30" s="13" t="n">
        <v>28025</v>
      </c>
      <c r="G30" s="11" t="n">
        <v>2</v>
      </c>
      <c r="H30" s="11" t="n">
        <f aca="false">F30*G30</f>
        <v>56050</v>
      </c>
      <c r="I30" s="11" t="n">
        <f aca="false">H30*1.16</f>
        <v>65018</v>
      </c>
      <c r="J30" s="5" t="n">
        <v>20.1</v>
      </c>
      <c r="K30" s="11" t="n">
        <f aca="false">F30*15/1000*Catálogo!B14*J30+F30*Catálogo!B17</f>
        <v>21081.80625</v>
      </c>
      <c r="L30" s="11" t="n">
        <f aca="false">H30-K30</f>
        <v>34968.19375</v>
      </c>
    </row>
    <row r="31" customFormat="false" ht="15" hidden="false" customHeight="false" outlineLevel="0" collapsed="false">
      <c r="A31" s="4" t="s">
        <v>94</v>
      </c>
      <c r="B31" s="4" t="n">
        <v>121</v>
      </c>
      <c r="C31" s="4" t="s">
        <v>95</v>
      </c>
      <c r="D31" s="4" t="s">
        <v>16</v>
      </c>
      <c r="E31" s="4" t="s">
        <v>50</v>
      </c>
      <c r="F31" s="13" t="n">
        <v>28025</v>
      </c>
      <c r="G31" s="11" t="n">
        <v>2</v>
      </c>
      <c r="H31" s="11" t="n">
        <f aca="false">F31*G31</f>
        <v>56050</v>
      </c>
      <c r="I31" s="11" t="n">
        <f aca="false">H31*1.16</f>
        <v>65018</v>
      </c>
      <c r="J31" s="5" t="n">
        <v>20.3</v>
      </c>
      <c r="K31" s="11" t="n">
        <f aca="false">F31*15/1000*Catálogo!B14*J31+F31*Catálogo!B17</f>
        <v>21207.91875</v>
      </c>
      <c r="L31" s="11" t="n">
        <f aca="false">H31-K31</f>
        <v>34842.08125</v>
      </c>
    </row>
    <row r="32" customFormat="false" ht="15" hidden="false" customHeight="false" outlineLevel="0" collapsed="false">
      <c r="A32" s="4" t="s">
        <v>94</v>
      </c>
      <c r="B32" s="4" t="n">
        <v>122</v>
      </c>
      <c r="C32" s="4" t="s">
        <v>96</v>
      </c>
      <c r="D32" s="4" t="s">
        <v>16</v>
      </c>
      <c r="E32" s="4" t="s">
        <v>50</v>
      </c>
      <c r="F32" s="13" t="n">
        <v>28120</v>
      </c>
      <c r="G32" s="11" t="n">
        <v>2</v>
      </c>
      <c r="H32" s="11" t="n">
        <f aca="false">F32*G32</f>
        <v>56240</v>
      </c>
      <c r="I32" s="11" t="n">
        <f aca="false">H32*1.16</f>
        <v>65238.4</v>
      </c>
      <c r="J32" s="5" t="n">
        <v>20.3</v>
      </c>
      <c r="K32" s="11" t="n">
        <f aca="false">F32*15/1000*Catálogo!B14*J32+F32*Catálogo!B17</f>
        <v>21279.81</v>
      </c>
      <c r="L32" s="11" t="n">
        <f aca="false">H32-K32</f>
        <v>34960.19</v>
      </c>
    </row>
    <row r="33" customFormat="false" ht="15" hidden="false" customHeight="false" outlineLevel="0" collapsed="false">
      <c r="A33" s="4" t="s">
        <v>94</v>
      </c>
      <c r="B33" s="4" t="n">
        <v>125</v>
      </c>
      <c r="C33" s="4" t="s">
        <v>97</v>
      </c>
      <c r="D33" s="4" t="s">
        <v>65</v>
      </c>
      <c r="E33" s="4" t="s">
        <v>66</v>
      </c>
      <c r="F33" s="13" t="n">
        <v>69934.5</v>
      </c>
      <c r="G33" s="11" t="n">
        <v>2.89</v>
      </c>
      <c r="H33" s="11" t="n">
        <f aca="false">F33*G33</f>
        <v>202110.705</v>
      </c>
      <c r="I33" s="11" t="n">
        <f aca="false">H33*1.16</f>
        <v>234448.4178</v>
      </c>
      <c r="J33" s="5" t="n">
        <v>20.3</v>
      </c>
      <c r="K33" s="11" t="n">
        <f aca="false">F33*10/1000*Catálogo!B14*J33+F33*Catálogo!B17</f>
        <v>42275.40525</v>
      </c>
      <c r="L33" s="11" t="n">
        <f aca="false">H33-K33</f>
        <v>159835.29975</v>
      </c>
    </row>
    <row r="34" customFormat="false" ht="15" hidden="false" customHeight="false" outlineLevel="0" collapsed="false">
      <c r="A34" s="4" t="s">
        <v>94</v>
      </c>
      <c r="B34" s="4" t="n">
        <v>126</v>
      </c>
      <c r="C34" s="4" t="s">
        <v>98</v>
      </c>
      <c r="D34" s="4" t="s">
        <v>16</v>
      </c>
      <c r="E34" s="4" t="s">
        <v>50</v>
      </c>
      <c r="F34" s="13" t="n">
        <v>51585</v>
      </c>
      <c r="G34" s="11" t="n">
        <v>2</v>
      </c>
      <c r="H34" s="11" t="n">
        <f aca="false">F34*G34</f>
        <v>103170</v>
      </c>
      <c r="I34" s="11" t="n">
        <f aca="false">H34*1.16</f>
        <v>119677.2</v>
      </c>
      <c r="J34" s="5" t="n">
        <v>20.3</v>
      </c>
      <c r="K34" s="11" t="n">
        <f aca="false">F34*15/1000*Catálogo!B14*J34+F34*Catálogo!B17</f>
        <v>39036.94875</v>
      </c>
      <c r="L34" s="11" t="n">
        <f aca="false">H34-K34</f>
        <v>64133.05125</v>
      </c>
    </row>
    <row r="35" customFormat="false" ht="15" hidden="false" customHeight="false" outlineLevel="0" collapsed="false">
      <c r="A35" s="4" t="s">
        <v>94</v>
      </c>
      <c r="B35" s="4" t="n">
        <v>127</v>
      </c>
      <c r="C35" s="4" t="s">
        <v>99</v>
      </c>
      <c r="D35" s="4" t="s">
        <v>16</v>
      </c>
      <c r="E35" s="4" t="s">
        <v>50</v>
      </c>
      <c r="F35" s="13" t="n">
        <v>31397.5</v>
      </c>
      <c r="G35" s="11" t="n">
        <v>2</v>
      </c>
      <c r="H35" s="11" t="n">
        <f aca="false">F35*G35</f>
        <v>62795</v>
      </c>
      <c r="I35" s="11" t="n">
        <f aca="false">H35*1.16</f>
        <v>72842.2</v>
      </c>
      <c r="J35" s="5" t="n">
        <v>20.3</v>
      </c>
      <c r="K35" s="11" t="n">
        <f aca="false">F35*15/1000*Catálogo!B14*J35+F35*Catálogo!B17</f>
        <v>23760.058125</v>
      </c>
      <c r="L35" s="11" t="n">
        <f aca="false">H35-K35</f>
        <v>39034.941875</v>
      </c>
    </row>
    <row r="36" customFormat="false" ht="15" hidden="false" customHeight="false" outlineLevel="0" collapsed="false">
      <c r="A36" s="4" t="s">
        <v>100</v>
      </c>
      <c r="B36" s="4" t="n">
        <v>129</v>
      </c>
      <c r="C36" s="4" t="s">
        <v>101</v>
      </c>
      <c r="D36" s="4" t="s">
        <v>16</v>
      </c>
      <c r="E36" s="4" t="s">
        <v>50</v>
      </c>
      <c r="F36" s="13" t="n">
        <v>50302.5</v>
      </c>
      <c r="G36" s="11" t="n">
        <v>2</v>
      </c>
      <c r="H36" s="11" t="n">
        <f aca="false">F36*G36</f>
        <v>100605</v>
      </c>
      <c r="I36" s="11" t="n">
        <f aca="false">H36*1.16</f>
        <v>116701.8</v>
      </c>
      <c r="J36" s="5" t="n">
        <v>20.5</v>
      </c>
      <c r="K36" s="11" t="n">
        <f aca="false">F36*15/1000*Catálogo!B14*J36+F36*Catálogo!B17</f>
        <v>38292.778125</v>
      </c>
      <c r="L36" s="11" t="n">
        <f aca="false">H36-K36</f>
        <v>62312.221875</v>
      </c>
    </row>
    <row r="37" customFormat="false" ht="15" hidden="false" customHeight="false" outlineLevel="0" collapsed="false">
      <c r="A37" s="4" t="s">
        <v>100</v>
      </c>
      <c r="B37" s="4" t="n">
        <v>130</v>
      </c>
      <c r="C37" s="4" t="s">
        <v>102</v>
      </c>
      <c r="D37" s="4" t="s">
        <v>12</v>
      </c>
      <c r="E37" s="4" t="s">
        <v>54</v>
      </c>
      <c r="F37" s="13" t="n">
        <v>130352.5</v>
      </c>
      <c r="G37" s="11" t="n">
        <v>3.7</v>
      </c>
      <c r="H37" s="11" t="n">
        <f aca="false">F37*G37</f>
        <v>482304.25</v>
      </c>
      <c r="I37" s="11" t="n">
        <f aca="false">H37*1.16</f>
        <v>559472.93</v>
      </c>
      <c r="J37" s="5" t="n">
        <v>20.5</v>
      </c>
      <c r="K37" s="11" t="n">
        <f aca="false">F37*10/1000*Catálogo!B14*J37+F37*Catálogo!B17</f>
        <v>79189.14375</v>
      </c>
      <c r="L37" s="11" t="n">
        <f aca="false">H37-K37</f>
        <v>403115.10625</v>
      </c>
    </row>
    <row r="38" customFormat="false" ht="15" hidden="false" customHeight="false" outlineLevel="0" collapsed="false">
      <c r="A38" s="4" t="s">
        <v>103</v>
      </c>
      <c r="B38" s="4" t="n">
        <v>131</v>
      </c>
      <c r="C38" s="4" t="s">
        <v>104</v>
      </c>
      <c r="D38" s="4" t="s">
        <v>14</v>
      </c>
      <c r="E38" s="4" t="s">
        <v>76</v>
      </c>
      <c r="F38" s="13" t="n">
        <v>38619</v>
      </c>
      <c r="G38" s="11" t="n">
        <v>4.2</v>
      </c>
      <c r="H38" s="11" t="n">
        <f aca="false">F38*G38</f>
        <v>162199.8</v>
      </c>
      <c r="I38" s="11" t="n">
        <f aca="false">H38*1.16</f>
        <v>188151.768</v>
      </c>
      <c r="J38" s="5" t="n">
        <v>20.4</v>
      </c>
      <c r="K38" s="11" t="n">
        <f aca="false">F38*14/1000*Catálogo!B14*J38+F38*Catálogo!B17</f>
        <v>28130.0796</v>
      </c>
      <c r="L38" s="11" t="n">
        <f aca="false">H38-K38</f>
        <v>134069.7204</v>
      </c>
    </row>
    <row r="39" customFormat="false" ht="15" hidden="false" customHeight="false" outlineLevel="0" collapsed="false">
      <c r="A39" s="4" t="s">
        <v>105</v>
      </c>
      <c r="B39" s="4" t="s">
        <v>106</v>
      </c>
      <c r="C39" s="4" t="s">
        <v>107</v>
      </c>
      <c r="D39" s="4" t="s">
        <v>20</v>
      </c>
      <c r="E39" s="4" t="s">
        <v>72</v>
      </c>
      <c r="F39" s="13" t="n">
        <v>145000</v>
      </c>
      <c r="G39" s="11" t="n">
        <v>5.5</v>
      </c>
      <c r="H39" s="11" t="n">
        <f aca="false">F39*G39</f>
        <v>797500</v>
      </c>
      <c r="I39" s="11" t="n">
        <f aca="false">H39*1.16</f>
        <v>925100</v>
      </c>
      <c r="J39" s="5" t="n">
        <v>20.5</v>
      </c>
      <c r="K39" s="11" t="n">
        <f aca="false">F39*15/1000*Catálogo!B14*J39+F39*Catálogo!B17</f>
        <v>110381.25</v>
      </c>
      <c r="L39" s="11" t="n">
        <f aca="false">H39-K39</f>
        <v>687118.75</v>
      </c>
    </row>
    <row r="40" customFormat="false" ht="15" hidden="false" customHeight="false" outlineLevel="0" collapsed="false">
      <c r="A40" s="14"/>
      <c r="B40" s="14"/>
      <c r="C40" s="14"/>
      <c r="D40" s="14"/>
      <c r="E40" s="14" t="s">
        <v>108</v>
      </c>
      <c r="F40" s="15" t="n">
        <f aca="false">SUM(F4:F39)</f>
        <v>1931349.2</v>
      </c>
      <c r="G40" s="14"/>
      <c r="H40" s="15" t="n">
        <f aca="false">SUM(H4:H39)</f>
        <v>5966578.96</v>
      </c>
      <c r="I40" s="15" t="n">
        <f aca="false">SUM(I4:I39)</f>
        <v>6921231.5936</v>
      </c>
      <c r="J40" s="14"/>
      <c r="K40" s="15" t="n">
        <f aca="false">SUM(K4:K39)</f>
        <v>1336328.4498</v>
      </c>
      <c r="L40" s="15" t="n">
        <f aca="false">SUM(L4:L39)</f>
        <v>4630250.5102</v>
      </c>
    </row>
    <row r="41" customFormat="false" ht="15" hidden="false" customHeight="false" outlineLevel="0" collapsed="false">
      <c r="K41" s="16" t="s">
        <v>109</v>
      </c>
      <c r="L41" s="17" t="n">
        <f aca="false">L40/H40</f>
        <v>0.776031045803842</v>
      </c>
    </row>
  </sheetData>
  <mergeCells count="1">
    <mergeCell ref="A1:L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C000"/>
    <pageSetUpPr fitToPage="false"/>
  </sheetPr>
  <dimension ref="A1:H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2"/>
    <col collapsed="false" customWidth="true" hidden="false" outlineLevel="0" max="3" min="3" style="0" width="14"/>
    <col collapsed="false" customWidth="true" hidden="false" outlineLevel="0" max="4" min="4" style="0" width="18"/>
    <col collapsed="false" customWidth="true" hidden="false" outlineLevel="0" max="5" min="5" style="0" width="16"/>
    <col collapsed="false" customWidth="true" hidden="false" outlineLevel="0" max="6" min="6" style="0" width="18"/>
    <col collapsed="false" customWidth="true" hidden="false" outlineLevel="0" max="7" min="7" style="0" width="12"/>
    <col collapsed="false" customWidth="true" hidden="false" outlineLevel="0" max="8" min="8" style="0" width="14"/>
  </cols>
  <sheetData>
    <row r="1" customFormat="false" ht="17.35" hidden="false" customHeight="false" outlineLevel="0" collapsed="false">
      <c r="A1" s="1" t="s">
        <v>110</v>
      </c>
      <c r="B1" s="1"/>
      <c r="C1" s="1"/>
      <c r="D1" s="1"/>
      <c r="E1" s="1"/>
      <c r="F1" s="1"/>
      <c r="G1" s="1"/>
      <c r="H1" s="1"/>
    </row>
    <row r="3" customFormat="false" ht="26.85" hidden="false" customHeight="false" outlineLevel="0" collapsed="false">
      <c r="A3" s="3" t="s">
        <v>38</v>
      </c>
      <c r="B3" s="3" t="s">
        <v>111</v>
      </c>
      <c r="C3" s="3" t="s">
        <v>112</v>
      </c>
      <c r="D3" s="3" t="s">
        <v>113</v>
      </c>
      <c r="E3" s="3" t="s">
        <v>46</v>
      </c>
      <c r="F3" s="3" t="s">
        <v>47</v>
      </c>
      <c r="G3" s="3" t="s">
        <v>35</v>
      </c>
      <c r="H3" s="3" t="s">
        <v>114</v>
      </c>
    </row>
    <row r="4" customFormat="false" ht="15" hidden="false" customHeight="false" outlineLevel="0" collapsed="false">
      <c r="A4" s="4" t="s">
        <v>48</v>
      </c>
      <c r="B4" s="4" t="n">
        <v>4</v>
      </c>
      <c r="C4" s="13" t="n">
        <v>141756</v>
      </c>
      <c r="D4" s="11" t="n">
        <v>348635.6</v>
      </c>
      <c r="E4" s="11" t="n">
        <v>98640.91</v>
      </c>
      <c r="F4" s="11" t="n">
        <f aca="false">D4-E4</f>
        <v>249994.69</v>
      </c>
      <c r="G4" s="12" t="n">
        <f aca="false">IF(D4&gt;0,F4/D4,0)</f>
        <v>0.7170658704963</v>
      </c>
      <c r="H4" s="11" t="n">
        <v>20.3</v>
      </c>
    </row>
    <row r="5" customFormat="false" ht="15" hidden="false" customHeight="false" outlineLevel="0" collapsed="false">
      <c r="A5" s="4" t="s">
        <v>55</v>
      </c>
      <c r="B5" s="4" t="n">
        <v>1</v>
      </c>
      <c r="C5" s="13" t="n">
        <v>41572.5</v>
      </c>
      <c r="D5" s="11" t="n">
        <v>153818.25</v>
      </c>
      <c r="E5" s="11" t="n">
        <v>29009.29</v>
      </c>
      <c r="F5" s="11" t="n">
        <f aca="false">D5-E5</f>
        <v>124808.96</v>
      </c>
      <c r="G5" s="12" t="n">
        <f aca="false">IF(D5&gt;0,F5/D5,0)</f>
        <v>0.811405408655995</v>
      </c>
      <c r="H5" s="11" t="n">
        <v>20.4</v>
      </c>
    </row>
    <row r="6" customFormat="false" ht="15" hidden="false" customHeight="false" outlineLevel="0" collapsed="false">
      <c r="A6" s="4" t="s">
        <v>57</v>
      </c>
      <c r="B6" s="4" t="n">
        <v>2</v>
      </c>
      <c r="C6" s="13" t="n">
        <v>66930</v>
      </c>
      <c r="D6" s="11" t="n">
        <v>247641</v>
      </c>
      <c r="E6" s="11" t="n">
        <v>45920.67</v>
      </c>
      <c r="F6" s="11" t="n">
        <f aca="false">D6-E6</f>
        <v>201720.33</v>
      </c>
      <c r="G6" s="12" t="n">
        <f aca="false">IF(D6&gt;0,F6/D6,0)</f>
        <v>0.814567579681878</v>
      </c>
      <c r="H6" s="11" t="n">
        <v>19.8</v>
      </c>
    </row>
    <row r="7" customFormat="false" ht="15" hidden="false" customHeight="false" outlineLevel="0" collapsed="false">
      <c r="A7" s="4" t="s">
        <v>60</v>
      </c>
      <c r="B7" s="4" t="n">
        <v>1</v>
      </c>
      <c r="C7" s="13" t="n">
        <v>19730.7</v>
      </c>
      <c r="D7" s="11" t="n">
        <v>81882.405</v>
      </c>
      <c r="E7" s="11" t="n">
        <v>13421.81</v>
      </c>
      <c r="F7" s="11" t="n">
        <f aca="false">D7-E7</f>
        <v>68460.595</v>
      </c>
      <c r="G7" s="12" t="n">
        <f aca="false">IF(D7&gt;0,F7/D7,0)</f>
        <v>0.836084321167655</v>
      </c>
      <c r="H7" s="11" t="n">
        <v>19.5</v>
      </c>
    </row>
    <row r="8" customFormat="false" ht="15" hidden="false" customHeight="false" outlineLevel="0" collapsed="false">
      <c r="A8" s="4" t="s">
        <v>63</v>
      </c>
      <c r="B8" s="4" t="n">
        <v>3</v>
      </c>
      <c r="C8" s="13" t="n">
        <v>309152.5</v>
      </c>
      <c r="D8" s="11" t="n">
        <v>700485.175</v>
      </c>
      <c r="E8" s="11" t="n">
        <v>211506.68</v>
      </c>
      <c r="F8" s="11" t="n">
        <f aca="false">D8-E8</f>
        <v>488978.495</v>
      </c>
      <c r="G8" s="12" t="n">
        <f aca="false">IF(D8&gt;0,F8/D8,0)</f>
        <v>0.698056878933948</v>
      </c>
      <c r="H8" s="11" t="n">
        <v>19.7</v>
      </c>
    </row>
    <row r="9" customFormat="false" ht="15" hidden="false" customHeight="false" outlineLevel="0" collapsed="false">
      <c r="A9" s="4" t="s">
        <v>70</v>
      </c>
      <c r="B9" s="4" t="n">
        <v>2</v>
      </c>
      <c r="C9" s="13" t="n">
        <v>174790</v>
      </c>
      <c r="D9" s="11" t="n">
        <v>661430</v>
      </c>
      <c r="E9" s="11" t="n">
        <v>120264.26</v>
      </c>
      <c r="F9" s="11" t="n">
        <f aca="false">D9-E9</f>
        <v>541165.74</v>
      </c>
      <c r="G9" s="12" t="n">
        <f aca="false">IF(D9&gt;0,F9/D9,0)</f>
        <v>0.818175377590977</v>
      </c>
      <c r="H9" s="11" t="n">
        <v>19.9</v>
      </c>
    </row>
    <row r="10" customFormat="false" ht="15" hidden="false" customHeight="false" outlineLevel="0" collapsed="false">
      <c r="A10" s="4" t="s">
        <v>74</v>
      </c>
      <c r="B10" s="4" t="n">
        <v>2</v>
      </c>
      <c r="C10" s="13" t="n">
        <v>87332.5</v>
      </c>
      <c r="D10" s="11" t="n">
        <v>293796.475</v>
      </c>
      <c r="E10" s="11" t="n">
        <v>60259.42</v>
      </c>
      <c r="F10" s="11" t="n">
        <f aca="false">D10-E10</f>
        <v>233537.055</v>
      </c>
      <c r="G10" s="12" t="n">
        <f aca="false">IF(D10&gt;0,F10/D10,0)</f>
        <v>0.794893999323852</v>
      </c>
      <c r="H10" s="11" t="n">
        <v>20</v>
      </c>
    </row>
    <row r="11" customFormat="false" ht="15" hidden="false" customHeight="false" outlineLevel="0" collapsed="false">
      <c r="A11" s="4" t="s">
        <v>80</v>
      </c>
      <c r="B11" s="4" t="n">
        <v>3</v>
      </c>
      <c r="C11" s="13" t="n">
        <v>158570</v>
      </c>
      <c r="D11" s="11" t="n">
        <v>496936</v>
      </c>
      <c r="E11" s="11" t="n">
        <v>108794.88</v>
      </c>
      <c r="F11" s="11" t="n">
        <f aca="false">D11-E11</f>
        <v>388141.12</v>
      </c>
      <c r="G11" s="12" t="n">
        <f aca="false">IF(D11&gt;0,F11/D11,0)</f>
        <v>0.78106862855579</v>
      </c>
      <c r="H11" s="11" t="n">
        <v>19.8</v>
      </c>
    </row>
    <row r="12" customFormat="false" ht="15" hidden="false" customHeight="false" outlineLevel="0" collapsed="false">
      <c r="A12" s="4" t="s">
        <v>84</v>
      </c>
      <c r="B12" s="4" t="n">
        <v>9</v>
      </c>
      <c r="C12" s="13" t="n">
        <v>358179</v>
      </c>
      <c r="D12" s="11" t="n">
        <v>958979.3</v>
      </c>
      <c r="E12" s="11" t="n">
        <v>247841.96</v>
      </c>
      <c r="F12" s="11" t="n">
        <f aca="false">D12-E12</f>
        <v>711137.34</v>
      </c>
      <c r="G12" s="12" t="n">
        <f aca="false">IF(D12&gt;0,F12/D12,0)</f>
        <v>0.741556507006981</v>
      </c>
      <c r="H12" s="11" t="n">
        <v>20.1</v>
      </c>
    </row>
    <row r="13" customFormat="false" ht="15" hidden="false" customHeight="false" outlineLevel="0" collapsed="false">
      <c r="A13" s="4" t="s">
        <v>94</v>
      </c>
      <c r="B13" s="4" t="n">
        <v>5</v>
      </c>
      <c r="C13" s="13" t="n">
        <v>209062</v>
      </c>
      <c r="D13" s="11" t="n">
        <v>480365.705</v>
      </c>
      <c r="E13" s="11" t="n">
        <v>145475.79</v>
      </c>
      <c r="F13" s="11" t="n">
        <f aca="false">D13-E13</f>
        <v>334889.915</v>
      </c>
      <c r="G13" s="12" t="n">
        <f aca="false">IF(D13&gt;0,F13/D13,0)</f>
        <v>0.697156169797759</v>
      </c>
      <c r="H13" s="11" t="n">
        <v>20.3</v>
      </c>
    </row>
    <row r="14" customFormat="false" ht="15" hidden="false" customHeight="false" outlineLevel="0" collapsed="false">
      <c r="A14" s="4" t="s">
        <v>100</v>
      </c>
      <c r="B14" s="4" t="n">
        <v>2</v>
      </c>
      <c r="C14" s="13" t="n">
        <v>180655</v>
      </c>
      <c r="D14" s="11" t="n">
        <v>582909.25</v>
      </c>
      <c r="E14" s="11" t="n">
        <v>126413.34</v>
      </c>
      <c r="F14" s="11" t="n">
        <f aca="false">D14-E14</f>
        <v>456495.91</v>
      </c>
      <c r="G14" s="12" t="n">
        <f aca="false">IF(D14&gt;0,F14/D14,0)</f>
        <v>0.783133755383021</v>
      </c>
      <c r="H14" s="11" t="n">
        <v>20.5</v>
      </c>
    </row>
    <row r="15" customFormat="false" ht="15" hidden="false" customHeight="false" outlineLevel="0" collapsed="false">
      <c r="A15" s="4" t="s">
        <v>103</v>
      </c>
      <c r="B15" s="4" t="n">
        <v>1</v>
      </c>
      <c r="C15" s="13" t="n">
        <v>38619</v>
      </c>
      <c r="D15" s="11" t="n">
        <v>162199.8</v>
      </c>
      <c r="E15" s="11" t="n">
        <v>26948.34</v>
      </c>
      <c r="F15" s="11" t="n">
        <f aca="false">D15-E15</f>
        <v>135251.46</v>
      </c>
      <c r="G15" s="12" t="n">
        <f aca="false">IF(D15&gt;0,F15/D15,0)</f>
        <v>0.833857131759719</v>
      </c>
      <c r="H15" s="11" t="n">
        <v>20.4</v>
      </c>
    </row>
    <row r="16" customFormat="false" ht="15" hidden="false" customHeight="false" outlineLevel="0" collapsed="false">
      <c r="A16" s="4" t="s">
        <v>105</v>
      </c>
      <c r="B16" s="4" t="n">
        <v>1</v>
      </c>
      <c r="C16" s="13" t="n">
        <v>145000</v>
      </c>
      <c r="D16" s="11" t="n">
        <v>797500</v>
      </c>
      <c r="E16" s="11" t="n">
        <v>101463.75</v>
      </c>
      <c r="F16" s="11" t="n">
        <f aca="false">D16-E16</f>
        <v>696036.25</v>
      </c>
      <c r="G16" s="12" t="n">
        <f aca="false">IF(D16&gt;0,F16/D16,0)</f>
        <v>0.872772727272727</v>
      </c>
      <c r="H16" s="11" t="n">
        <v>20.5</v>
      </c>
    </row>
    <row r="17" customFormat="false" ht="15" hidden="false" customHeight="false" outlineLevel="0" collapsed="false">
      <c r="A17" s="14" t="s">
        <v>115</v>
      </c>
      <c r="B17" s="18" t="n">
        <f aca="false">SUM(B4:B16)</f>
        <v>36</v>
      </c>
      <c r="C17" s="18" t="n">
        <f aca="false">SUM(C4:C16)</f>
        <v>1931349.2</v>
      </c>
      <c r="D17" s="15" t="n">
        <f aca="false">SUM(D4:D16)</f>
        <v>5966578.96</v>
      </c>
      <c r="E17" s="15" t="n">
        <f aca="false">SUM(E4:E16)</f>
        <v>1335961.1</v>
      </c>
      <c r="F17" s="15" t="n">
        <f aca="false">SUM(F4:F16)</f>
        <v>4630617.86</v>
      </c>
      <c r="G17" s="19" t="n">
        <f aca="false">IF(D17&gt;0,F17/D17,0)</f>
        <v>0.776092613714443</v>
      </c>
      <c r="H17" s="14"/>
    </row>
  </sheetData>
  <mergeCells count="1">
    <mergeCell ref="A1:H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030A0"/>
    <pageSetUpPr fitToPage="false"/>
  </sheetPr>
  <dimension ref="A1:G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40"/>
    <col collapsed="false" customWidth="true" hidden="false" outlineLevel="0" max="4" min="3" style="0" width="14"/>
    <col collapsed="false" customWidth="true" hidden="false" outlineLevel="0" max="5" min="5" style="0" width="16"/>
    <col collapsed="false" customWidth="true" hidden="false" outlineLevel="0" max="6" min="6" style="0" width="14"/>
    <col collapsed="false" customWidth="true" hidden="false" outlineLevel="0" max="7" min="7" style="0" width="16"/>
  </cols>
  <sheetData>
    <row r="1" customFormat="false" ht="17.35" hidden="false" customHeight="false" outlineLevel="0" collapsed="false">
      <c r="A1" s="1" t="s">
        <v>116</v>
      </c>
      <c r="B1" s="1"/>
      <c r="C1" s="1"/>
      <c r="D1" s="1"/>
      <c r="E1" s="1"/>
      <c r="F1" s="1"/>
      <c r="G1" s="1"/>
    </row>
    <row r="3" customFormat="false" ht="26.85" hidden="false" customHeight="false" outlineLevel="0" collapsed="false">
      <c r="A3" s="3" t="s">
        <v>2</v>
      </c>
      <c r="B3" s="3" t="s">
        <v>30</v>
      </c>
      <c r="C3" s="3" t="s">
        <v>112</v>
      </c>
      <c r="D3" s="3" t="s">
        <v>117</v>
      </c>
      <c r="E3" s="3" t="s">
        <v>118</v>
      </c>
      <c r="F3" s="3" t="s">
        <v>119</v>
      </c>
      <c r="G3" s="3" t="s">
        <v>120</v>
      </c>
    </row>
    <row r="4" customFormat="false" ht="15" hidden="false" customHeight="false" outlineLevel="0" collapsed="false">
      <c r="A4" s="4" t="s">
        <v>12</v>
      </c>
      <c r="B4" s="4" t="s">
        <v>54</v>
      </c>
      <c r="C4" s="13" t="n">
        <v>409298</v>
      </c>
      <c r="D4" s="12" t="n">
        <v>0.265574481677899</v>
      </c>
      <c r="E4" s="11" t="n">
        <v>1514402.6</v>
      </c>
      <c r="F4" s="12" t="n">
        <v>0.314274178022865</v>
      </c>
      <c r="G4" s="11" t="n">
        <v>3.7</v>
      </c>
    </row>
    <row r="5" customFormat="false" ht="15" hidden="false" customHeight="false" outlineLevel="0" collapsed="false">
      <c r="A5" s="4" t="s">
        <v>16</v>
      </c>
      <c r="B5" s="4" t="s">
        <v>50</v>
      </c>
      <c r="C5" s="13" t="n">
        <v>718763</v>
      </c>
      <c r="D5" s="12" t="n">
        <v>0.466371961686233</v>
      </c>
      <c r="E5" s="11" t="n">
        <v>1437526</v>
      </c>
      <c r="F5" s="12" t="n">
        <v>0.298320474381448</v>
      </c>
      <c r="G5" s="11" t="n">
        <v>2</v>
      </c>
    </row>
    <row r="6" customFormat="false" ht="15" hidden="false" customHeight="false" outlineLevel="0" collapsed="false">
      <c r="A6" s="4" t="s">
        <v>20</v>
      </c>
      <c r="B6" s="4" t="s">
        <v>72</v>
      </c>
      <c r="C6" s="13" t="n">
        <v>234100</v>
      </c>
      <c r="D6" s="12" t="n">
        <v>0.151896628277676</v>
      </c>
      <c r="E6" s="11" t="n">
        <v>1287550</v>
      </c>
      <c r="F6" s="12" t="n">
        <v>0.267196924987675</v>
      </c>
      <c r="G6" s="11" t="n">
        <v>5.5</v>
      </c>
    </row>
    <row r="7" customFormat="false" ht="15" hidden="false" customHeight="false" outlineLevel="0" collapsed="false">
      <c r="A7" s="4" t="s">
        <v>14</v>
      </c>
      <c r="B7" s="4" t="s">
        <v>76</v>
      </c>
      <c r="C7" s="13" t="n">
        <v>97988</v>
      </c>
      <c r="D7" s="12" t="n">
        <v>0.0635798667734853</v>
      </c>
      <c r="E7" s="11" t="n">
        <v>411549.6</v>
      </c>
      <c r="F7" s="12" t="n">
        <v>0.0854062270202383</v>
      </c>
      <c r="G7" s="11" t="n">
        <v>4.2</v>
      </c>
    </row>
    <row r="8" customFormat="false" ht="15" hidden="false" customHeight="false" outlineLevel="0" collapsed="false">
      <c r="A8" s="4" t="s">
        <v>18</v>
      </c>
      <c r="B8" s="4" t="s">
        <v>68</v>
      </c>
      <c r="C8" s="13" t="n">
        <v>61300</v>
      </c>
      <c r="D8" s="12" t="n">
        <v>0.0397747258155555</v>
      </c>
      <c r="E8" s="11" t="n">
        <v>85820</v>
      </c>
      <c r="F8" s="12" t="n">
        <v>0.0178096696069607</v>
      </c>
      <c r="G8" s="11" t="n">
        <v>1.4</v>
      </c>
    </row>
    <row r="9" customFormat="false" ht="15" hidden="false" customHeight="false" outlineLevel="0" collapsed="false">
      <c r="A9" s="4" t="s">
        <v>9</v>
      </c>
      <c r="B9" s="4" t="s">
        <v>62</v>
      </c>
      <c r="C9" s="13" t="n">
        <v>19731</v>
      </c>
      <c r="D9" s="12" t="n">
        <v>0.0128023357691514</v>
      </c>
      <c r="E9" s="11" t="n">
        <v>81882.41</v>
      </c>
      <c r="F9" s="12" t="n">
        <v>0.0169925259808127</v>
      </c>
      <c r="G9" s="11" t="n">
        <v>4.15</v>
      </c>
    </row>
    <row r="10" customFormat="false" ht="15" hidden="false" customHeight="false" outlineLevel="0" collapsed="false">
      <c r="A10" s="14" t="s">
        <v>121</v>
      </c>
      <c r="B10" s="14"/>
      <c r="C10" s="18" t="n">
        <v>1541180</v>
      </c>
      <c r="D10" s="19" t="n">
        <v>1</v>
      </c>
      <c r="E10" s="15" t="n">
        <v>4818730.6</v>
      </c>
      <c r="F10" s="19" t="n">
        <v>1</v>
      </c>
      <c r="G10" s="14"/>
    </row>
  </sheetData>
  <mergeCells count="1">
    <mergeCell ref="A1:G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LibreOffice/25.2.6.2$Linux_AARCH64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2026-02-16T20:37:26Z</dcterms:created>
  <dc:creator>openpyxl</dc:creator>
  <dc:description/>
  <dc:language>en-US</dc:language>
  <cp:lastModifiedBy/>
  <dcterms:modified xsi:type="dcterms:W3CDTF">2026-02-16T20:37:26Z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