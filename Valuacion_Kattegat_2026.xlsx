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do de Resultados" sheetId="1" state="visible" r:id="rId3"/>
    <sheet name="Valuación" sheetId="2" state="visible" r:id="rId4"/>
    <sheet name="Factores y Riesg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<sst xmlns="http://schemas.openxmlformats.org/spreadsheetml/2006/main" count="79" uniqueCount="70">
  <si>
    <t xml:space="preserve">KATTEGAT PACKING SA DE CV</t>
  </si>
  <si>
    <t xml:space="preserve">Valuación Empresarial — Marzo 2026</t>
  </si>
  <si>
    <t xml:space="preserve">Fuente: Estado de Resultados al 15 de Diciembre 2025</t>
  </si>
  <si>
    <t xml:space="preserve">Concepto</t>
  </si>
  <si>
    <t xml:space="preserve">11.5 Meses (Real)</t>
  </si>
  <si>
    <t xml:space="preserve">%</t>
  </si>
  <si>
    <t xml:space="preserve">Anualizado (12m)</t>
  </si>
  <si>
    <t xml:space="preserve">Ventas del Ejercicio</t>
  </si>
  <si>
    <t xml:space="preserve">(-) Costo de Ventas (GV + GF)</t>
  </si>
  <si>
    <t xml:space="preserve">(=) Utilidad Bruta</t>
  </si>
  <si>
    <t xml:space="preserve">(-) Gastos de Operación</t>
  </si>
  <si>
    <t xml:space="preserve">(=) Utilidad antes de Nómina (≈ EBITDA)</t>
  </si>
  <si>
    <t xml:space="preserve">(-) Nómina</t>
  </si>
  <si>
    <t xml:space="preserve">(=) Utilidad antes de Impuestos</t>
  </si>
  <si>
    <t xml:space="preserve">(-) Impuestos</t>
  </si>
  <si>
    <t xml:space="preserve">(=) Utilidad Neta</t>
  </si>
  <si>
    <t xml:space="preserve">VALUACIÓN — KATTEGAT PACKING SA DE CV</t>
  </si>
  <si>
    <t xml:space="preserve">Método: Múltiplo de SDE (Seller's Discretionary Earnings)</t>
  </si>
  <si>
    <t xml:space="preserve">Cálculo del SDE</t>
  </si>
  <si>
    <t xml:space="preserve">Utilidad Neta (anualizada)</t>
  </si>
  <si>
    <t xml:space="preserve">(+) Nómina (anualizada)</t>
  </si>
  <si>
    <t xml:space="preserve">(+) Impuestos (anualizada)</t>
  </si>
  <si>
    <t xml:space="preserve">(=) SDE (≈ EBITDA antes de socios)</t>
  </si>
  <si>
    <t xml:space="preserve">Ajuste: Sueldo de socios (imputado)</t>
  </si>
  <si>
    <t xml:space="preserve">Si cada socio tomara $40,000/mes (2 socios):</t>
  </si>
  <si>
    <t xml:space="preserve">Sueldo socios imputado anual</t>
  </si>
  <si>
    <t xml:space="preserve">SDE Ajustado (restando sueldo imputado)</t>
  </si>
  <si>
    <t xml:space="preserve">Escenarios de Valuación</t>
  </si>
  <si>
    <t xml:space="preserve">Escenario</t>
  </si>
  <si>
    <t xml:space="preserve">Múltiplo</t>
  </si>
  <si>
    <t xml:space="preserve">Valor (SDE)</t>
  </si>
  <si>
    <t xml:space="preserve">Valor (SDE Ajust.)</t>
  </si>
  <si>
    <t xml:space="preserve">Conservador (Bajo)</t>
  </si>
  <si>
    <t xml:space="preserve">Conservador (Alto)</t>
  </si>
  <si>
    <t xml:space="preserve">Moderado (Bajo)</t>
  </si>
  <si>
    <t xml:space="preserve">Moderado (Alto)</t>
  </si>
  <si>
    <t xml:space="preserve">Optimista (Bajo)</t>
  </si>
  <si>
    <t xml:space="preserve">Optimista (Alto)</t>
  </si>
  <si>
    <t xml:space="preserve">RANGO DE VALUACIÓN</t>
  </si>
  <si>
    <t xml:space="preserve">Rango conservador (SDE ajustado, 2.0x-3.0x)</t>
  </si>
  <si>
    <t xml:space="preserve">a</t>
  </si>
  <si>
    <t xml:space="preserve">Rango moderado (SDE ajustado, 3.0x-4.0x)</t>
  </si>
  <si>
    <t xml:space="preserve">FACTORES QUE AFECTAN LA VALUACIÓN</t>
  </si>
  <si>
    <t xml:space="preserve">FACTORES POSITIVOS (↑ múltiplo)</t>
  </si>
  <si>
    <t xml:space="preserve">Margen bruto alto (55.8%) — superior al promedio de manufactura</t>
  </si>
  <si>
    <t xml:space="preserve">+0.5x</t>
  </si>
  <si>
    <t xml:space="preserve">Deuda cero — empresa limpia</t>
  </si>
  <si>
    <t xml:space="preserve">+0.3x</t>
  </si>
  <si>
    <t xml:space="preserve">Utilidad neta sólida (35.6% margen neto)</t>
  </si>
  <si>
    <t xml:space="preserve">Flujo de efectivo positivo y saludable</t>
  </si>
  <si>
    <t xml:space="preserve">+0.2x</t>
  </si>
  <si>
    <t xml:space="preserve">Activos productivos (extrusora, instalaciones)</t>
  </si>
  <si>
    <t xml:space="preserve">Crecimiento en producción 2022→2025</t>
  </si>
  <si>
    <t xml:space="preserve">Nuevos clientes (Flexotecnia, Noja) = diversificación incipiente</t>
  </si>
  <si>
    <t xml:space="preserve">FACTORES NEGATIVOS (↓ múltiplo)</t>
  </si>
  <si>
    <t xml:space="preserve">Concentración: ~95% ventas en 1 solo cliente (Arpapel)</t>
  </si>
  <si>
    <t xml:space="preserve">-0.8x</t>
  </si>
  <si>
    <t xml:space="preserve">Empresa joven (operando desde 2022)</t>
  </si>
  <si>
    <t xml:space="preserve">-0.3x</t>
  </si>
  <si>
    <t xml:space="preserve">Socios no toman sueldo — SDE sobreestimado</t>
  </si>
  <si>
    <t xml:space="preserve">Escala pequeña ($6.9M ventas anuales)</t>
  </si>
  <si>
    <t xml:space="preserve">-0.2x</t>
  </si>
  <si>
    <t xml:space="preserve">Dependencia de socios para operación</t>
  </si>
  <si>
    <t xml:space="preserve">Industria de packaging competitiva</t>
  </si>
  <si>
    <t xml:space="preserve">RECOMENDACIONES PARA AUMENTAR VALOR</t>
  </si>
  <si>
    <t xml:space="preserve">1. Diversificar cartera de clientes — el factor #1 que castiga el múltiplo</t>
  </si>
  <si>
    <t xml:space="preserve">2. Asignar sueldo a socios para mostrar SDE realista a un comprador</t>
  </si>
  <si>
    <t xml:space="preserve">3. Documentar procesos operativos (reduce dependencia de socios)</t>
  </si>
  <si>
    <t xml:space="preserve">4. Seguir creciendo la línea Flexotecnia y Noja para reducir concentración</t>
  </si>
  <si>
    <t xml:space="preserve">5. Mantener deuda en cero — es un diferenciador fuerte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</si>
</sst>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.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0F1A"/>
      <name val="Arial"/>
      <family val="0"/>
      <charset val="1"/>
    </font>
    <font>
      <sz val="11"/>
      <color rgb="FF666666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E3A5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6600"/>
      <name val="Arial"/>
      <family val="0"/>
      <charset val="1"/>
    </font>
    <font>
      <b val="true"/>
      <sz val="12"/>
      <color rgb="FF006600"/>
      <name val="Arial"/>
      <family val="0"/>
      <charset val="1"/>
    </font>
    <font>
      <sz val="11"/>
      <color rgb="FF0B0F1A"/>
      <name val="Arial"/>
      <family val="0"/>
      <charset val="1"/>
    </font>
    <font>
      <b val="true"/>
      <sz val="13"/>
      <color rgb="FF1E3A5F"/>
      <name val="Arial"/>
      <family val="0"/>
      <charset val="1"/>
    </font>
    <font>
      <b val="true"/>
      <sz val="12"/>
      <color rgb="FFCC0000"/>
      <name val="Arial"/>
      <family val="0"/>
      <charset val="1"/>
    </font>
    <font>
      <b val="true"/>
      <sz val="11"/>
      <color rgb="FF006600"/>
      <name val="Arial"/>
      <family val="0"/>
      <charset val="1"/>
    </font>
    <font>
      <b val="true"/>
      <sz val="11"/>
      <color rgb="FFCC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8EEF4"/>
        <bgColor rgb="FFE8F5E9"/>
      </patternFill>
    </fill>
    <fill>
      <patternFill patternType="solid">
        <fgColor rgb="FFFFFFD4"/>
        <bgColor rgb="FFFFFFFF"/>
      </patternFill>
    </fill>
    <fill>
      <patternFill patternType="solid">
        <fgColor rgb="FFE8F5E9"/>
        <bgColor rgb="FFE8EEF4"/>
      </patternFill>
    </fill>
    <fill>
      <patternFill patternType="solid">
        <fgColor rgb="FFFFEBEE"/>
        <bgColor rgb="FFE8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E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E3A5F"/>
      <rgbColor rgb="FF339966"/>
      <rgbColor rgb="FF0B0F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7.35" hidden="false" customHeight="false" outlineLevel="0" collapsed="false">
      <c r="B1" s="1" t="s">
        <v>0</v>
      </c>
      <c r="C1" s="1"/>
      <c r="D1" s="1"/>
      <c r="E1" s="1"/>
      <c r="F1" s="1"/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5" customFormat="false" ht="15" hidden="false" customHeight="false" outlineLevel="0" collapsed="false">
      <c r="B5" s="4" t="s">
        <v>3</v>
      </c>
      <c r="C5" s="4" t="s">
        <v>4</v>
      </c>
      <c r="D5" s="4" t="s">
        <v>5</v>
      </c>
      <c r="E5" s="4" t="s">
        <v>6</v>
      </c>
      <c r="F5" s="4" t="s">
        <v>5</v>
      </c>
    </row>
    <row r="6" customFormat="false" ht="15" hidden="false" customHeight="false" outlineLevel="0" collapsed="false">
      <c r="B6" s="5" t="s">
        <v>7</v>
      </c>
      <c r="C6" s="6" t="n">
        <v>6585543</v>
      </c>
      <c r="D6" s="7" t="n">
        <f aca="false">C6/C6</f>
        <v>1</v>
      </c>
      <c r="E6" s="8" t="n">
        <f aca="false">C6*(12/11.5)</f>
        <v>6871870.95652174</v>
      </c>
      <c r="F6" s="7" t="n">
        <f aca="false">E6/E6</f>
        <v>1</v>
      </c>
    </row>
    <row r="7" customFormat="false" ht="15" hidden="false" customHeight="false" outlineLevel="0" collapsed="false">
      <c r="B7" s="9" t="s">
        <v>8</v>
      </c>
      <c r="C7" s="10" t="n">
        <v>2908012</v>
      </c>
      <c r="D7" s="11" t="n">
        <f aca="false">C7/C6</f>
        <v>0.441575129036436</v>
      </c>
      <c r="E7" s="12" t="n">
        <f aca="false">C7*(12/11.5)</f>
        <v>3034447.30434783</v>
      </c>
      <c r="F7" s="11" t="n">
        <f aca="false">E7/E6</f>
        <v>0.441575129036436</v>
      </c>
    </row>
    <row r="8" customFormat="false" ht="15" hidden="false" customHeight="false" outlineLevel="0" collapsed="false">
      <c r="B8" s="5" t="s">
        <v>9</v>
      </c>
      <c r="C8" s="6" t="n">
        <v>3677531</v>
      </c>
      <c r="D8" s="7" t="n">
        <f aca="false">C8/C6</f>
        <v>0.558424870963564</v>
      </c>
      <c r="E8" s="8" t="n">
        <f aca="false">C8*(12/11.5)</f>
        <v>3837423.65217391</v>
      </c>
      <c r="F8" s="7" t="n">
        <f aca="false">E8/E6</f>
        <v>0.558424870963564</v>
      </c>
    </row>
    <row r="9" customFormat="false" ht="15" hidden="false" customHeight="false" outlineLevel="0" collapsed="false">
      <c r="B9" s="9" t="s">
        <v>10</v>
      </c>
      <c r="C9" s="10" t="n">
        <v>405816</v>
      </c>
      <c r="D9" s="11" t="n">
        <f aca="false">C9/C6</f>
        <v>0.0616222534724927</v>
      </c>
      <c r="E9" s="12" t="n">
        <f aca="false">C9*(12/11.5)</f>
        <v>423460.173913043</v>
      </c>
      <c r="F9" s="11" t="n">
        <f aca="false">E9/E6</f>
        <v>0.0616222534724927</v>
      </c>
    </row>
    <row r="10" customFormat="false" ht="15" hidden="false" customHeight="false" outlineLevel="0" collapsed="false">
      <c r="B10" s="5" t="s">
        <v>11</v>
      </c>
      <c r="C10" s="6" t="n">
        <v>3271715</v>
      </c>
      <c r="D10" s="7" t="n">
        <f aca="false">C10/C6</f>
        <v>0.496802617491071</v>
      </c>
      <c r="E10" s="8" t="n">
        <f aca="false">C10*(12/11.5)</f>
        <v>3413963.47826087</v>
      </c>
      <c r="F10" s="7" t="n">
        <f aca="false">E10/E6</f>
        <v>0.496802617491071</v>
      </c>
    </row>
    <row r="11" customFormat="false" ht="15" hidden="false" customHeight="false" outlineLevel="0" collapsed="false">
      <c r="B11" s="9" t="s">
        <v>12</v>
      </c>
      <c r="C11" s="10" t="n">
        <v>571605</v>
      </c>
      <c r="D11" s="11" t="n">
        <f aca="false">C11/C6</f>
        <v>0.0867969429400127</v>
      </c>
      <c r="E11" s="12" t="n">
        <f aca="false">C11*(12/11.5)</f>
        <v>596457.391304348</v>
      </c>
      <c r="F11" s="11" t="n">
        <f aca="false">E11/E6</f>
        <v>0.0867969429400127</v>
      </c>
    </row>
    <row r="12" customFormat="false" ht="15" hidden="false" customHeight="false" outlineLevel="0" collapsed="false">
      <c r="B12" s="5" t="s">
        <v>13</v>
      </c>
      <c r="C12" s="6" t="n">
        <v>2700110</v>
      </c>
      <c r="D12" s="7" t="n">
        <f aca="false">C12/C6</f>
        <v>0.410005674551058</v>
      </c>
      <c r="E12" s="8" t="n">
        <f aca="false">C12*(12/11.5)</f>
        <v>2817506.08695652</v>
      </c>
      <c r="F12" s="7" t="n">
        <f aca="false">E12/E6</f>
        <v>0.410005674551058</v>
      </c>
    </row>
    <row r="13" customFormat="false" ht="15" hidden="false" customHeight="false" outlineLevel="0" collapsed="false">
      <c r="B13" s="9" t="s">
        <v>14</v>
      </c>
      <c r="C13" s="10" t="n">
        <v>358178</v>
      </c>
      <c r="D13" s="11" t="n">
        <f aca="false">C13/C6</f>
        <v>0.0543885295411479</v>
      </c>
      <c r="E13" s="12" t="n">
        <f aca="false">C13*(12/11.5)</f>
        <v>373750.956521739</v>
      </c>
      <c r="F13" s="11" t="n">
        <f aca="false">E13/E6</f>
        <v>0.0543885295411479</v>
      </c>
    </row>
    <row r="14" customFormat="false" ht="15" hidden="false" customHeight="false" outlineLevel="0" collapsed="false">
      <c r="B14" s="5" t="s">
        <v>15</v>
      </c>
      <c r="C14" s="6" t="n">
        <v>2341932</v>
      </c>
      <c r="D14" s="7" t="n">
        <f aca="false">C14/C6</f>
        <v>0.35561714500991</v>
      </c>
      <c r="E14" s="8" t="n">
        <f aca="false">C14*(12/11.5)</f>
        <v>2443755.13043478</v>
      </c>
      <c r="F14" s="7" t="n">
        <f aca="false">E14/E6</f>
        <v>0.35561714500991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5" min="3" style="0" width="18"/>
  </cols>
  <sheetData>
    <row r="1" customFormat="false" ht="17.35" hidden="false" customHeight="false" outlineLevel="0" collapsed="false">
      <c r="B1" s="1" t="s">
        <v>16</v>
      </c>
      <c r="C1" s="1"/>
      <c r="D1" s="1"/>
      <c r="E1" s="1"/>
    </row>
    <row r="2" customFormat="false" ht="15" hidden="false" customHeight="false" outlineLevel="0" collapsed="false">
      <c r="B2" s="13" t="s">
        <v>17</v>
      </c>
    </row>
    <row r="4" customFormat="false" ht="15" hidden="false" customHeight="false" outlineLevel="0" collapsed="false">
      <c r="B4" s="14" t="s">
        <v>18</v>
      </c>
    </row>
    <row r="5" customFormat="false" ht="15" hidden="false" customHeight="false" outlineLevel="0" collapsed="false">
      <c r="B5" s="9" t="s">
        <v>19</v>
      </c>
      <c r="C5" s="15" t="n">
        <f aca="false">'Estado de Resultados'!E14</f>
        <v>2443755.13043478</v>
      </c>
    </row>
    <row r="6" customFormat="false" ht="15" hidden="false" customHeight="false" outlineLevel="0" collapsed="false">
      <c r="B6" s="9" t="s">
        <v>20</v>
      </c>
      <c r="C6" s="15" t="n">
        <f aca="false">'Estado de Resultados'!E11</f>
        <v>596457.391304348</v>
      </c>
    </row>
    <row r="7" customFormat="false" ht="15" hidden="false" customHeight="false" outlineLevel="0" collapsed="false">
      <c r="B7" s="9" t="s">
        <v>21</v>
      </c>
      <c r="C7" s="15" t="n">
        <f aca="false">'Estado de Resultados'!E13</f>
        <v>373750.956521739</v>
      </c>
    </row>
    <row r="8" customFormat="false" ht="16.15" hidden="false" customHeight="false" outlineLevel="0" collapsed="false">
      <c r="B8" s="5" t="s">
        <v>22</v>
      </c>
      <c r="C8" s="16" t="n">
        <f aca="false">SUM(C5:C7)</f>
        <v>3413963.47826087</v>
      </c>
    </row>
    <row r="10" customFormat="false" ht="15" hidden="false" customHeight="false" outlineLevel="0" collapsed="false">
      <c r="B10" s="14" t="s">
        <v>23</v>
      </c>
    </row>
    <row r="11" customFormat="false" ht="15" hidden="false" customHeight="false" outlineLevel="0" collapsed="false">
      <c r="B11" s="13" t="s">
        <v>24</v>
      </c>
    </row>
    <row r="12" customFormat="false" ht="15" hidden="false" customHeight="false" outlineLevel="0" collapsed="false">
      <c r="B12" s="0" t="s">
        <v>25</v>
      </c>
      <c r="C12" s="17" t="n">
        <v>960000</v>
      </c>
    </row>
    <row r="13" customFormat="false" ht="15" hidden="false" customHeight="false" outlineLevel="0" collapsed="false">
      <c r="B13" s="18" t="s">
        <v>26</v>
      </c>
      <c r="C13" s="19" t="n">
        <f aca="false">C8-C12</f>
        <v>2453963.47826087</v>
      </c>
    </row>
    <row r="15" customFormat="false" ht="15" hidden="false" customHeight="false" outlineLevel="0" collapsed="false">
      <c r="B15" s="14" t="s">
        <v>27</v>
      </c>
    </row>
    <row r="16" customFormat="false" ht="15" hidden="false" customHeight="false" outlineLevel="0" collapsed="false">
      <c r="B16" s="4" t="s">
        <v>28</v>
      </c>
      <c r="C16" s="4" t="s">
        <v>29</v>
      </c>
      <c r="D16" s="4" t="s">
        <v>30</v>
      </c>
      <c r="E16" s="4" t="s">
        <v>31</v>
      </c>
    </row>
    <row r="17" customFormat="false" ht="15" hidden="false" customHeight="false" outlineLevel="0" collapsed="false">
      <c r="B17" s="9" t="s">
        <v>32</v>
      </c>
      <c r="C17" s="20" t="n">
        <v>2</v>
      </c>
      <c r="D17" s="21" t="n">
        <f aca="false">C8*C17</f>
        <v>6827926.95652174</v>
      </c>
      <c r="E17" s="21" t="n">
        <f aca="false">C13*C17</f>
        <v>4907926.95652174</v>
      </c>
    </row>
    <row r="18" customFormat="false" ht="15" hidden="false" customHeight="false" outlineLevel="0" collapsed="false">
      <c r="B18" s="9" t="s">
        <v>33</v>
      </c>
      <c r="C18" s="20" t="n">
        <v>2.5</v>
      </c>
      <c r="D18" s="21" t="n">
        <f aca="false">C8*C18</f>
        <v>8534908.69565217</v>
      </c>
      <c r="E18" s="21" t="n">
        <f aca="false">C13*C18</f>
        <v>6134908.69565217</v>
      </c>
    </row>
    <row r="19" customFormat="false" ht="15" hidden="false" customHeight="false" outlineLevel="0" collapsed="false">
      <c r="B19" s="9" t="s">
        <v>34</v>
      </c>
      <c r="C19" s="20" t="n">
        <v>3</v>
      </c>
      <c r="D19" s="21" t="n">
        <f aca="false">C8*C19</f>
        <v>10241890.4347826</v>
      </c>
      <c r="E19" s="21" t="n">
        <f aca="false">C13*C19</f>
        <v>7361890.43478261</v>
      </c>
    </row>
    <row r="20" customFormat="false" ht="15" hidden="false" customHeight="false" outlineLevel="0" collapsed="false">
      <c r="B20" s="9" t="s">
        <v>35</v>
      </c>
      <c r="C20" s="20" t="n">
        <v>3.5</v>
      </c>
      <c r="D20" s="21" t="n">
        <f aca="false">C8*C20</f>
        <v>11948872.173913</v>
      </c>
      <c r="E20" s="21" t="n">
        <f aca="false">C13*C20</f>
        <v>8588872.17391304</v>
      </c>
    </row>
    <row r="21" customFormat="false" ht="15" hidden="false" customHeight="false" outlineLevel="0" collapsed="false">
      <c r="B21" s="9" t="s">
        <v>36</v>
      </c>
      <c r="C21" s="20" t="n">
        <v>4</v>
      </c>
      <c r="D21" s="21" t="n">
        <f aca="false">C8*C21</f>
        <v>13655853.9130435</v>
      </c>
      <c r="E21" s="21" t="n">
        <f aca="false">C13*C21</f>
        <v>9815853.91304348</v>
      </c>
    </row>
    <row r="22" customFormat="false" ht="15" hidden="false" customHeight="false" outlineLevel="0" collapsed="false">
      <c r="B22" s="9" t="s">
        <v>37</v>
      </c>
      <c r="C22" s="20" t="n">
        <v>5</v>
      </c>
      <c r="D22" s="21" t="n">
        <f aca="false">C8*C22</f>
        <v>17069817.3913043</v>
      </c>
      <c r="E22" s="21" t="n">
        <f aca="false">C13*C22</f>
        <v>12269817.3913043</v>
      </c>
    </row>
    <row r="24" customFormat="false" ht="16.15" hidden="false" customHeight="false" outlineLevel="0" collapsed="false">
      <c r="B24" s="22" t="s">
        <v>38</v>
      </c>
    </row>
    <row r="25" customFormat="false" ht="15" hidden="false" customHeight="false" outlineLevel="0" collapsed="false">
      <c r="B25" s="0" t="s">
        <v>39</v>
      </c>
      <c r="C25" s="23" t="n">
        <f aca="false">E17</f>
        <v>4907926.95652174</v>
      </c>
      <c r="D25" s="24" t="s">
        <v>40</v>
      </c>
      <c r="E25" s="25" t="n">
        <f aca="false">E19</f>
        <v>7361890.43478261</v>
      </c>
    </row>
    <row r="26" customFormat="false" ht="15" hidden="false" customHeight="false" outlineLevel="0" collapsed="false">
      <c r="B26" s="0" t="s">
        <v>41</v>
      </c>
      <c r="C26" s="23" t="n">
        <f aca="false">E19</f>
        <v>7361890.43478261</v>
      </c>
      <c r="D26" s="24" t="s">
        <v>40</v>
      </c>
      <c r="E26" s="25" t="n">
        <f aca="false">E21</f>
        <v>9815853.91304348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5"/>
  </cols>
  <sheetData>
    <row r="1" customFormat="false" ht="17.35" hidden="false" customHeight="false" outlineLevel="0" collapsed="false">
      <c r="B1" s="26" t="s">
        <v>42</v>
      </c>
    </row>
    <row r="3" customFormat="false" ht="15" hidden="false" customHeight="false" outlineLevel="0" collapsed="false">
      <c r="B3" s="27" t="s">
        <v>43</v>
      </c>
    </row>
    <row r="4" customFormat="false" ht="15" hidden="false" customHeight="false" outlineLevel="0" collapsed="false">
      <c r="B4" s="28" t="s">
        <v>44</v>
      </c>
      <c r="C4" s="29" t="s">
        <v>45</v>
      </c>
    </row>
    <row r="5" customFormat="false" ht="15" hidden="false" customHeight="false" outlineLevel="0" collapsed="false">
      <c r="B5" s="28" t="s">
        <v>46</v>
      </c>
      <c r="C5" s="29" t="s">
        <v>47</v>
      </c>
    </row>
    <row r="6" customFormat="false" ht="15" hidden="false" customHeight="false" outlineLevel="0" collapsed="false">
      <c r="B6" s="28" t="s">
        <v>48</v>
      </c>
      <c r="C6" s="29" t="s">
        <v>47</v>
      </c>
    </row>
    <row r="7" customFormat="false" ht="15" hidden="false" customHeight="false" outlineLevel="0" collapsed="false">
      <c r="B7" s="28" t="s">
        <v>49</v>
      </c>
      <c r="C7" s="29" t="s">
        <v>50</v>
      </c>
    </row>
    <row r="8" customFormat="false" ht="15" hidden="false" customHeight="false" outlineLevel="0" collapsed="false">
      <c r="B8" s="28" t="s">
        <v>51</v>
      </c>
      <c r="C8" s="29" t="s">
        <v>50</v>
      </c>
    </row>
    <row r="9" customFormat="false" ht="15" hidden="false" customHeight="false" outlineLevel="0" collapsed="false">
      <c r="B9" s="28" t="s">
        <v>52</v>
      </c>
      <c r="C9" s="29" t="s">
        <v>47</v>
      </c>
    </row>
    <row r="10" customFormat="false" ht="15" hidden="false" customHeight="false" outlineLevel="0" collapsed="false">
      <c r="B10" s="28" t="s">
        <v>53</v>
      </c>
      <c r="C10" s="29" t="s">
        <v>50</v>
      </c>
    </row>
    <row r="12" customFormat="false" ht="15" hidden="false" customHeight="false" outlineLevel="0" collapsed="false">
      <c r="B12" s="30" t="s">
        <v>54</v>
      </c>
    </row>
    <row r="13" customFormat="false" ht="15" hidden="false" customHeight="false" outlineLevel="0" collapsed="false">
      <c r="B13" s="31" t="s">
        <v>55</v>
      </c>
      <c r="C13" s="32" t="s">
        <v>56</v>
      </c>
    </row>
    <row r="14" customFormat="false" ht="15" hidden="false" customHeight="false" outlineLevel="0" collapsed="false">
      <c r="B14" s="31" t="s">
        <v>57</v>
      </c>
      <c r="C14" s="32" t="s">
        <v>58</v>
      </c>
    </row>
    <row r="15" customFormat="false" ht="15" hidden="false" customHeight="false" outlineLevel="0" collapsed="false">
      <c r="B15" s="31" t="s">
        <v>59</v>
      </c>
      <c r="C15" s="32" t="s">
        <v>58</v>
      </c>
    </row>
    <row r="16" customFormat="false" ht="15" hidden="false" customHeight="false" outlineLevel="0" collapsed="false">
      <c r="B16" s="31" t="s">
        <v>60</v>
      </c>
      <c r="C16" s="32" t="s">
        <v>61</v>
      </c>
    </row>
    <row r="17" customFormat="false" ht="15" hidden="false" customHeight="false" outlineLevel="0" collapsed="false">
      <c r="B17" s="31" t="s">
        <v>62</v>
      </c>
      <c r="C17" s="32" t="s">
        <v>61</v>
      </c>
    </row>
    <row r="18" customFormat="false" ht="15" hidden="false" customHeight="false" outlineLevel="0" collapsed="false">
      <c r="B18" s="31" t="s">
        <v>63</v>
      </c>
      <c r="C18" s="32" t="s">
        <v>61</v>
      </c>
    </row>
    <row r="20" customFormat="false" ht="15" hidden="false" customHeight="false" outlineLevel="0" collapsed="false">
      <c r="B20" s="14" t="s">
        <v>64</v>
      </c>
    </row>
    <row r="21" customFormat="false" ht="15" hidden="false" customHeight="false" outlineLevel="0" collapsed="false">
      <c r="B21" s="9" t="s">
        <v>65</v>
      </c>
    </row>
    <row r="22" customFormat="false" ht="15" hidden="false" customHeight="false" outlineLevel="0" collapsed="false">
      <c r="B22" s="9" t="s">
        <v>66</v>
      </c>
    </row>
    <row r="23" customFormat="false" ht="15" hidden="false" customHeight="false" outlineLevel="0" collapsed="false">
      <c r="B23" s="9" t="s">
        <v>67</v>
      </c>
    </row>
    <row r="24" customFormat="false" ht="15" hidden="false" customHeight="false" outlineLevel="0" collapsed="false">
      <c r="B24" s="9" t="s">
        <v>68</v>
      </c>
    </row>
    <row r="25" customFormat="false" ht="15" hidden="false" customHeight="false" outlineLevel="0" collapsed="false">
      <c r="B25" s="9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2026-03-18T22:26:10Z</dcterms:created>
  <dc:creator>openpyxl</dc:creator>
  <dc:description/>
  <dc:language>en-US</dc:language>
  <cp:lastModifiedBy/>
  <dcterms:modified xsi:type="dcterms:W3CDTF">2026-03-18T22:26:10Z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